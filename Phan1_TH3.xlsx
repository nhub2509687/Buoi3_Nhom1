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16380" windowHeight="8190"/>
  </bookViews>
  <sheets>
    <sheet name="Tổng hợp điểm" sheetId="1" r:id="rId1"/>
    <sheet name="Điểm thực hành các buổi" sheetId="2" r:id="rId2"/>
    <sheet name="Điểm bài tập lớn" sheetId="3" r:id="rId3"/>
    <sheet name="Điểm lý thuyết" sheetId="4" r:id="rId4"/>
    <sheet name="Các bảng tham chiếu &amp; Thống kê" sheetId="5" r:id="rId5"/>
    <sheet name="Sinh viên điểm &lt; 7" sheetId="6" r:id="rId6"/>
    <sheet name="Sinh viên điểm &gt;= 7" sheetId="7" r:id="rId7"/>
  </sheets>
  <definedNames>
    <definedName name="_xlnm._FilterDatabase" localSheetId="2" hidden="1">'Điểm bài tập lớn'!$A$2:$D$16</definedName>
    <definedName name="_xlnm._FilterDatabase" localSheetId="3" hidden="1">'Điểm lý thuyết'!$A$2:$D$16</definedName>
    <definedName name="_xlnm._FilterDatabase" localSheetId="1" hidden="1">'Điểm thực hành các buổi'!$A$2:$F$16</definedName>
    <definedName name="_xlnm._FilterDatabase" localSheetId="5" hidden="1">'Sinh viên điểm &lt; 7'!$A$1:$K$12</definedName>
    <definedName name="_xlnm._FilterDatabase" localSheetId="6" hidden="1">'Sinh viên điểm &gt;= 7'!$A$1:$K$2</definedName>
    <definedName name="_xlnm._FilterDatabase" localSheetId="0" hidden="1">'Tổng hợp điểm'!$A$6:$K$20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0" i="1" l="1"/>
  <c r="I20" i="1" s="1"/>
  <c r="G20" i="1"/>
  <c r="J20" i="1" s="1"/>
  <c r="K20" i="1" s="1"/>
  <c r="F20" i="1"/>
  <c r="E20" i="1"/>
  <c r="D20" i="1"/>
  <c r="C20" i="1"/>
  <c r="H19" i="1"/>
  <c r="I19" i="1" s="1"/>
  <c r="G19" i="1"/>
  <c r="J19" i="1" s="1"/>
  <c r="K19" i="1" s="1"/>
  <c r="F19" i="1"/>
  <c r="E19" i="1"/>
  <c r="D19" i="1"/>
  <c r="C19" i="1"/>
  <c r="H18" i="1"/>
  <c r="G18" i="1"/>
  <c r="F18" i="1"/>
  <c r="E18" i="1"/>
  <c r="D18" i="1"/>
  <c r="I18" i="1" s="1"/>
  <c r="J18" i="1" s="1"/>
  <c r="K18" i="1" s="1"/>
  <c r="C18" i="1"/>
  <c r="H17" i="1"/>
  <c r="I17" i="1" s="1"/>
  <c r="G17" i="1"/>
  <c r="J17" i="1" s="1"/>
  <c r="K17" i="1" s="1"/>
  <c r="F17" i="1"/>
  <c r="E17" i="1"/>
  <c r="D17" i="1"/>
  <c r="C17" i="1"/>
  <c r="H16" i="1"/>
  <c r="I16" i="1" s="1"/>
  <c r="G16" i="1"/>
  <c r="J16" i="1" s="1"/>
  <c r="K16" i="1" s="1"/>
  <c r="F16" i="1"/>
  <c r="E16" i="1"/>
  <c r="D16" i="1"/>
  <c r="C16" i="1"/>
  <c r="I15" i="1"/>
  <c r="J15" i="1" s="1"/>
  <c r="K15" i="1" s="1"/>
  <c r="H15" i="1"/>
  <c r="G15" i="1"/>
  <c r="F15" i="1"/>
  <c r="E15" i="1"/>
  <c r="D15" i="1"/>
  <c r="C15" i="1"/>
  <c r="H14" i="1"/>
  <c r="I14" i="1" s="1"/>
  <c r="G14" i="1"/>
  <c r="J14" i="1" s="1"/>
  <c r="K14" i="1" s="1"/>
  <c r="F14" i="1"/>
  <c r="E14" i="1"/>
  <c r="D14" i="1"/>
  <c r="C14" i="1"/>
  <c r="H13" i="1"/>
  <c r="I13" i="1" s="1"/>
  <c r="G13" i="1"/>
  <c r="J13" i="1" s="1"/>
  <c r="K13" i="1" s="1"/>
  <c r="F13" i="1"/>
  <c r="E13" i="1"/>
  <c r="D13" i="1"/>
  <c r="C13" i="1"/>
  <c r="H12" i="1"/>
  <c r="I12" i="1" s="1"/>
  <c r="G12" i="1"/>
  <c r="F12" i="1"/>
  <c r="E12" i="1"/>
  <c r="D12" i="1"/>
  <c r="C12" i="1"/>
  <c r="H11" i="1"/>
  <c r="I11" i="1" s="1"/>
  <c r="J11" i="1" s="1"/>
  <c r="K11" i="1" s="1"/>
  <c r="G11" i="1"/>
  <c r="F11" i="1"/>
  <c r="E11" i="1"/>
  <c r="D11" i="1"/>
  <c r="C11" i="1"/>
  <c r="H10" i="1"/>
  <c r="I10" i="1" s="1"/>
  <c r="G10" i="1"/>
  <c r="J10" i="1" s="1"/>
  <c r="K10" i="1" s="1"/>
  <c r="F10" i="1"/>
  <c r="E10" i="1"/>
  <c r="D10" i="1"/>
  <c r="C10" i="1"/>
  <c r="H9" i="1"/>
  <c r="I9" i="1" s="1"/>
  <c r="J9" i="1" s="1"/>
  <c r="K9" i="1" s="1"/>
  <c r="G9" i="1"/>
  <c r="F9" i="1"/>
  <c r="E9" i="1"/>
  <c r="D9" i="1"/>
  <c r="C9" i="1"/>
  <c r="H8" i="1"/>
  <c r="I8" i="1" s="1"/>
  <c r="J8" i="1" s="1"/>
  <c r="K8" i="1" s="1"/>
  <c r="G8" i="1"/>
  <c r="F8" i="1"/>
  <c r="E8" i="1"/>
  <c r="D8" i="1"/>
  <c r="C8" i="1"/>
  <c r="H7" i="1"/>
  <c r="I7" i="1" s="1"/>
  <c r="G7" i="1"/>
  <c r="F13" i="5" s="1"/>
  <c r="F7" i="1"/>
  <c r="E7" i="1"/>
  <c r="D7" i="1"/>
  <c r="C7" i="1"/>
  <c r="J12" i="1" l="1"/>
  <c r="K12" i="1" s="1"/>
  <c r="J7" i="1"/>
  <c r="F14" i="5" l="1"/>
  <c r="K7" i="1"/>
  <c r="F10" i="5" l="1"/>
  <c r="F9" i="5"/>
  <c r="F8" i="5"/>
  <c r="F7" i="5"/>
  <c r="F6" i="5"/>
  <c r="F5" i="5"/>
  <c r="F4" i="5"/>
  <c r="F3" i="5"/>
</calcChain>
</file>

<file path=xl/sharedStrings.xml><?xml version="1.0" encoding="utf-8"?>
<sst xmlns="http://schemas.openxmlformats.org/spreadsheetml/2006/main" count="254" uniqueCount="98">
  <si>
    <t>ĐIỂM THI HK1-2018-2019(CT428)</t>
  </si>
  <si>
    <t>Ma CB</t>
  </si>
  <si>
    <t>Ho va ten</t>
  </si>
  <si>
    <t>Nguyen Minh Trung</t>
  </si>
  <si>
    <t>Ma MH</t>
  </si>
  <si>
    <t>CT428</t>
  </si>
  <si>
    <t>Ma NH</t>
  </si>
  <si>
    <t>Nam hoc</t>
  </si>
  <si>
    <t>2020-2021</t>
  </si>
  <si>
    <t>Hoc ky</t>
  </si>
  <si>
    <t>STT</t>
  </si>
  <si>
    <t>Mã SV</t>
  </si>
  <si>
    <t>Họ và Tên</t>
  </si>
  <si>
    <t>Điểm
TH 1</t>
  </si>
  <si>
    <t>Điểm
TH 2</t>
  </si>
  <si>
    <t>Điểm
TH 3</t>
  </si>
  <si>
    <t>Điểm BT lớn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</si>
  <si>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</si>
  <si>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</si>
  <si>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</si>
  <si>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</si>
  <si>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</si>
  <si>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</si>
  <si>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</si>
  <si>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</si>
  <si>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</si>
  <si>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</si>
  <si>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</si>
  <si>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</si>
  <si>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</si>
  <si>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</si>
  <si>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</si>
  <si>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</si>
  <si>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</si>
  <si>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</si>
  <si>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Điểm thực hành các buổi</t>
  </si>
  <si>
    <t xml:space="preserve">STT </t>
  </si>
  <si>
    <t xml:space="preserve">Mã SV </t>
  </si>
  <si>
    <t xml:space="preserve">Họ và tên </t>
  </si>
  <si>
    <t>Điểm TH1</t>
  </si>
  <si>
    <t>Điểm TH2</t>
  </si>
  <si>
    <t>Điểm TH3</t>
  </si>
  <si>
    <t>B1505719</t>
  </si>
  <si>
    <t>Nguyễn Văn Hiếu</t>
  </si>
  <si>
    <t>B1505915</t>
  </si>
  <si>
    <t>Lý Minh Trí</t>
  </si>
  <si>
    <t>B1509874</t>
  </si>
  <si>
    <t>Nguyễn Kiều Mi</t>
  </si>
  <si>
    <t>B1509929</t>
  </si>
  <si>
    <t xml:space="preserve">Đặng Duy Linh </t>
  </si>
  <si>
    <t>B1605223</t>
  </si>
  <si>
    <t>Lê Thị Trúc Linh</t>
  </si>
  <si>
    <t>B1605235</t>
  </si>
  <si>
    <t xml:space="preserve">Phạm Thị Huỳnh </t>
  </si>
  <si>
    <t>B1605249</t>
  </si>
  <si>
    <t xml:space="preserve">Lê Minh Thông </t>
  </si>
  <si>
    <t>B1605285</t>
  </si>
  <si>
    <t xml:space="preserve">Huỳnh Thị Diễm  </t>
  </si>
  <si>
    <t>B1605291</t>
  </si>
  <si>
    <t>Trần Thanh Nguyên</t>
  </si>
  <si>
    <t>B1605344</t>
  </si>
  <si>
    <t>Nguyễn Thị Đào</t>
  </si>
  <si>
    <t>B1607025</t>
  </si>
  <si>
    <t>Nguyễn Chí Thanh</t>
  </si>
  <si>
    <t>B1609759</t>
  </si>
  <si>
    <t>Nguyễn Hải Anh</t>
  </si>
  <si>
    <t>B1609765</t>
  </si>
  <si>
    <t>Trần Nam Dương</t>
  </si>
  <si>
    <t>B1609773</t>
  </si>
  <si>
    <t>Nguyễn Duy Khanh</t>
  </si>
  <si>
    <t xml:space="preserve">Điểm bài tập lớn </t>
  </si>
  <si>
    <t>Họ và tên</t>
  </si>
  <si>
    <t>Điểm BL lớn</t>
  </si>
  <si>
    <t>Đặng Duy Linh</t>
  </si>
  <si>
    <t>Phạm Thị Huỳnh</t>
  </si>
  <si>
    <t>Lê Minh Thông</t>
  </si>
  <si>
    <t>Huỳnh Thị Diễm</t>
  </si>
  <si>
    <t>Điểm lý thuyết</t>
  </si>
  <si>
    <t xml:space="preserve">Điểm lý thuyết </t>
  </si>
  <si>
    <t>Nguyễn Phước Hiếu</t>
  </si>
  <si>
    <t>Danh sách sinh viên</t>
  </si>
  <si>
    <t>Bảng thống kê theo điểm chữ</t>
  </si>
  <si>
    <t>Bảng quy đổi điểm</t>
  </si>
  <si>
    <t>Bảng Điểm Chuyên Cần</t>
  </si>
  <si>
    <t>Số lượng sinh viên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</si>
  <si>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</si>
  <si>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</si>
  <si>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</si>
  <si>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</si>
  <si>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</si>
  <si>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</si>
  <si>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</si>
  <si>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</si>
  <si>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</si>
  <si>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</si>
  <si>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Bảng thống kê SV</t>
  </si>
  <si>
    <t>Số sinh viên điểm BT lớn = 0 hoặc điểm LT = -3</t>
  </si>
  <si>
    <t>Số SV có Điểm theo thang điểm 10 &gt;= 7 và Điểm chữ là B+ hoặc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</si>
</sst>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2"/>
      <color theme="1"/>
      <name val="Times New Roman"/>
      <family val="2"/>
      <charset val="1"/>
    </font>
    <font>
      <b/>
      <sz val="14"/>
      <color theme="1"/>
      <name val="Times New Roman"/>
      <family val="1"/>
      <charset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charset val="1"/>
    </font>
    <font>
      <b/>
      <sz val="11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7C80"/>
        <bgColor rgb="FFF1A78B"/>
      </patternFill>
    </fill>
    <fill>
      <patternFill patternType="solid">
        <fgColor theme="4" tint="0.79989013336588644"/>
        <bgColor rgb="FFD9EAF7"/>
      </patternFill>
    </fill>
    <fill>
      <patternFill patternType="solid">
        <fgColor theme="5" tint="0.59987182226020086"/>
        <bgColor rgb="FFD0CECE"/>
      </patternFill>
    </fill>
    <fill>
      <patternFill patternType="solid">
        <fgColor rgb="FFB4C6E7"/>
        <bgColor rgb="FFD0CECE"/>
      </patternFill>
    </fill>
    <fill>
      <patternFill patternType="solid">
        <fgColor rgb="FFD9EAF7"/>
        <bgColor rgb="FFDEEBF7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4.9989318521683403E-2"/>
      </top>
      <bottom style="thin">
        <color theme="0" tint="-0.14996795556505021"/>
      </bottom>
      <diagonal/>
    </border>
    <border>
      <left style="thin">
        <color theme="0" tint="-4.9989318521683403E-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 style="thin">
        <color theme="0" tint="-0.14996795556505021"/>
      </right>
      <top style="thin">
        <color theme="0" tint="-0.14996795556505021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0.1499679555650502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auto="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0691854609822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/>
      <top style="thin">
        <color theme="0" tint="-0.14993743705557422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/>
    <xf numFmtId="0" fontId="0" fillId="0" borderId="1" xfId="0" applyBorder="1" applyAlignme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0" fillId="0" borderId="1" xfId="0" applyNumberFormat="1" applyBorder="1" applyAlignment="1"/>
    <xf numFmtId="0" fontId="0" fillId="3" borderId="1" xfId="0" applyFill="1" applyBorder="1" applyAlignment="1"/>
    <xf numFmtId="0" fontId="0" fillId="0" borderId="0" xfId="0" applyAlignment="1">
      <alignment horizontal="right" textRotation="255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0" fillId="0" borderId="2" xfId="0" applyFont="1" applyBorder="1" applyAlignment="1">
      <alignment horizontal="left"/>
    </xf>
    <xf numFmtId="0" fontId="0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6" fillId="7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8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0" fillId="9" borderId="6" xfId="0" applyFill="1" applyBorder="1"/>
    <xf numFmtId="0" fontId="2" fillId="8" borderId="7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12" xfId="0" applyFill="1" applyBorder="1"/>
    <xf numFmtId="0" fontId="2" fillId="8" borderId="13" xfId="0" applyFont="1" applyFill="1" applyBorder="1" applyAlignment="1">
      <alignment horizontal="center" vertical="center" wrapText="1"/>
    </xf>
    <xf numFmtId="0" fontId="2" fillId="8" borderId="14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left" vertical="center" wrapText="1"/>
    </xf>
    <xf numFmtId="0" fontId="2" fillId="8" borderId="15" xfId="0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2" fillId="8" borderId="16" xfId="0" applyFont="1" applyFill="1" applyBorder="1" applyAlignment="1">
      <alignment horizontal="center" vertical="center" wrapText="1"/>
    </xf>
    <xf numFmtId="0" fontId="2" fillId="8" borderId="17" xfId="0" applyFont="1" applyFill="1" applyBorder="1" applyAlignment="1">
      <alignment horizontal="center" vertical="center" wrapText="1"/>
    </xf>
    <xf numFmtId="0" fontId="6" fillId="7" borderId="19" xfId="0" applyFont="1" applyFill="1" applyBorder="1" applyAlignment="1">
      <alignment horizontal="center" vertical="center" wrapText="1"/>
    </xf>
    <xf numFmtId="0" fontId="2" fillId="8" borderId="19" xfId="0" applyFont="1" applyFill="1" applyBorder="1" applyAlignment="1">
      <alignment horizontal="center" vertical="center" wrapText="1"/>
    </xf>
    <xf numFmtId="0" fontId="2" fillId="8" borderId="18" xfId="0" applyFont="1" applyFill="1" applyBorder="1" applyAlignment="1">
      <alignment horizontal="center" vertical="center" wrapText="1"/>
    </xf>
    <xf numFmtId="0" fontId="2" fillId="8" borderId="20" xfId="0" applyFont="1" applyFill="1" applyBorder="1" applyAlignment="1">
      <alignment horizontal="center" vertical="center" wrapText="1"/>
    </xf>
    <xf numFmtId="0" fontId="2" fillId="8" borderId="21" xfId="0" applyFont="1" applyFill="1" applyBorder="1" applyAlignment="1">
      <alignment horizontal="center" vertical="center" wrapText="1"/>
    </xf>
    <xf numFmtId="0" fontId="2" fillId="8" borderId="22" xfId="0" applyFont="1" applyFill="1" applyBorder="1" applyAlignment="1">
      <alignment horizontal="center" vertical="center" wrapText="1"/>
    </xf>
    <xf numFmtId="0" fontId="2" fillId="8" borderId="23" xfId="0" applyFont="1" applyFill="1" applyBorder="1" applyAlignment="1">
      <alignment horizontal="center" vertical="center" wrapText="1"/>
    </xf>
    <xf numFmtId="0" fontId="2" fillId="8" borderId="24" xfId="0" applyFont="1" applyFill="1" applyBorder="1" applyAlignment="1">
      <alignment horizontal="center" vertical="center" wrapText="1"/>
    </xf>
    <xf numFmtId="0" fontId="2" fillId="8" borderId="25" xfId="0" applyFont="1" applyFill="1" applyBorder="1" applyAlignment="1">
      <alignment horizontal="center" vertical="center" wrapText="1"/>
    </xf>
    <xf numFmtId="0" fontId="2" fillId="8" borderId="26" xfId="0" applyFont="1" applyFill="1" applyBorder="1" applyAlignment="1">
      <alignment horizontal="center" vertical="center" wrapText="1"/>
    </xf>
    <xf numFmtId="0" fontId="2" fillId="8" borderId="27" xfId="0" applyFont="1" applyFill="1" applyBorder="1" applyAlignment="1">
      <alignment horizontal="center" vertical="center" wrapText="1"/>
    </xf>
    <xf numFmtId="0" fontId="2" fillId="8" borderId="28" xfId="0" applyFont="1" applyFill="1" applyBorder="1" applyAlignment="1">
      <alignment horizontal="center" vertical="center" wrapText="1"/>
    </xf>
    <xf numFmtId="0" fontId="2" fillId="8" borderId="29" xfId="0" applyFont="1" applyFill="1" applyBorder="1" applyAlignment="1">
      <alignment horizontal="center" vertical="center" wrapText="1"/>
    </xf>
    <xf numFmtId="0" fontId="2" fillId="8" borderId="30" xfId="0" applyFont="1" applyFill="1" applyBorder="1" applyAlignment="1">
      <alignment horizontal="center" vertical="center" wrapText="1"/>
    </xf>
    <xf numFmtId="0" fontId="2" fillId="8" borderId="31" xfId="0" applyFont="1" applyFill="1" applyBorder="1" applyAlignment="1">
      <alignment horizontal="center" vertical="center" wrapText="1"/>
    </xf>
    <xf numFmtId="0" fontId="2" fillId="8" borderId="32" xfId="0" applyFont="1" applyFill="1" applyBorder="1" applyAlignment="1">
      <alignment horizontal="center" vertical="center" wrapText="1"/>
    </xf>
    <xf numFmtId="0" fontId="2" fillId="8" borderId="33" xfId="0" applyFont="1" applyFill="1" applyBorder="1" applyAlignment="1">
      <alignment horizontal="center" vertical="center" wrapText="1"/>
    </xf>
    <xf numFmtId="0" fontId="2" fillId="8" borderId="34" xfId="0" applyFont="1" applyFill="1" applyBorder="1" applyAlignment="1">
      <alignment horizontal="center" vertical="center" wrapText="1"/>
    </xf>
    <xf numFmtId="0" fontId="2" fillId="8" borderId="35" xfId="0" applyFont="1" applyFill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8" xfId="0" applyBorder="1" applyAlignment="1"/>
    <xf numFmtId="0" fontId="0" fillId="0" borderId="40" xfId="0" applyBorder="1" applyAlignment="1"/>
    <xf numFmtId="0" fontId="0" fillId="0" borderId="2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28" xfId="0" applyBorder="1"/>
    <xf numFmtId="0" fontId="0" fillId="0" borderId="41" xfId="0" applyBorder="1"/>
    <xf numFmtId="0" fontId="0" fillId="0" borderId="42" xfId="0" applyBorder="1" applyAlignment="1"/>
    <xf numFmtId="0" fontId="0" fillId="0" borderId="43" xfId="0" applyBorder="1" applyAlignment="1"/>
    <xf numFmtId="0" fontId="0" fillId="9" borderId="14" xfId="0" applyFill="1" applyBorder="1" applyAlignment="1"/>
    <xf numFmtId="0" fontId="0" fillId="9" borderId="39" xfId="0" applyFill="1" applyBorder="1" applyAlignment="1"/>
    <xf numFmtId="0" fontId="0" fillId="10" borderId="20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9" borderId="8" xfId="0" applyFill="1" applyBorder="1" applyAlignment="1"/>
    <xf numFmtId="0" fontId="0" fillId="9" borderId="40" xfId="0" applyFill="1" applyBorder="1" applyAlignment="1"/>
    <xf numFmtId="0" fontId="3" fillId="10" borderId="8" xfId="0" applyFont="1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9" borderId="14" xfId="0" applyFill="1" applyBorder="1"/>
    <xf numFmtId="0" fontId="0" fillId="9" borderId="21" xfId="0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9" borderId="8" xfId="0" applyFill="1" applyBorder="1" applyAlignment="1">
      <alignment horizontal="right"/>
    </xf>
    <xf numFmtId="0" fontId="0" fillId="9" borderId="24" xfId="0" applyFill="1" applyBorder="1" applyAlignment="1">
      <alignment horizontal="center"/>
    </xf>
    <xf numFmtId="0" fontId="0" fillId="9" borderId="24" xfId="0" applyFill="1" applyBorder="1" applyAlignment="1">
      <alignment horizontal="right"/>
    </xf>
    <xf numFmtId="0" fontId="0" fillId="9" borderId="24" xfId="0" applyFill="1" applyBorder="1" applyAlignme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5B9BD5"/>
      <rgbColor rgb="FF993366"/>
      <rgbColor rgb="FFFFFFCC"/>
      <rgbColor rgb="FFD9EAF7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D9D9D9"/>
      <rgbColor rgb="FFFFFF99"/>
      <rgbColor rgb="FF98B8DF"/>
      <rgbColor rgb="FFF1A78B"/>
      <rgbColor rgb="FFCC99FF"/>
      <rgbColor rgb="FFF8CBAD"/>
      <rgbColor rgb="FF518ABD"/>
      <rgbColor rgb="FF33CCCC"/>
      <rgbColor rgb="FF99CC00"/>
      <rgbColor rgb="FFFFCC00"/>
      <rgbColor rgb="FFE3AB00"/>
      <rgbColor rgb="FFD36F2B"/>
      <rgbColor rgb="FF3C65AE"/>
      <rgbColor rgb="FF929292"/>
      <rgbColor rgb="FF003366"/>
      <rgbColor rgb="FF639A3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vi-VN" sz="1800" b="1" u="none" strike="noStrike">
                <a:solidFill>
                  <a:srgbClr val="000000"/>
                </a:solidFill>
                <a:uFillTx/>
                <a:latin typeface="Calibri"/>
              </a:rPr>
              <a:t>Thống kê tổng số lượng Sinh viên theo điểm chữ</a:t>
            </a:r>
          </a:p>
        </c:rich>
      </c:tx>
      <c:layout>
        <c:manualLayout>
          <c:xMode val="edge"/>
          <c:yMode val="edge"/>
          <c:x val="0.10493195152781828"/>
          <c:y val="1.9601034070301348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'Các bảng tham chiếu &amp; Thống kê'!$F$2</c:f>
              <c:strCache>
                <c:ptCount val="1"/>
                <c:pt idx="0">
                  <c:v>Số lượng sinh viên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518ABD"/>
              </a:solidFill>
              <a:ln w="0">
                <a:noFill/>
              </a:ln>
            </c:spPr>
          </c:dPt>
          <c:dPt>
            <c:idx val="1"/>
            <c:bubble3D val="0"/>
            <c:spPr>
              <a:solidFill>
                <a:srgbClr val="D36F2B"/>
              </a:solidFill>
              <a:ln w="0">
                <a:noFill/>
              </a:ln>
            </c:spPr>
          </c:dPt>
          <c:dPt>
            <c:idx val="2"/>
            <c:bubble3D val="0"/>
            <c:spPr>
              <a:solidFill>
                <a:srgbClr val="929292"/>
              </a:solidFill>
              <a:ln w="0">
                <a:noFill/>
              </a:ln>
            </c:spPr>
          </c:dPt>
          <c:dPt>
            <c:idx val="3"/>
            <c:bubble3D val="0"/>
            <c:spPr>
              <a:solidFill>
                <a:srgbClr val="E3AB00"/>
              </a:solidFill>
              <a:ln w="0">
                <a:noFill/>
              </a:ln>
            </c:spPr>
          </c:dPt>
          <c:dPt>
            <c:idx val="4"/>
            <c:bubble3D val="0"/>
            <c:spPr>
              <a:solidFill>
                <a:srgbClr val="3C65AE"/>
              </a:solidFill>
              <a:ln w="0">
                <a:noFill/>
              </a:ln>
            </c:spPr>
          </c:dPt>
          <c:dPt>
            <c:idx val="5"/>
            <c:bubble3D val="0"/>
            <c:spPr>
              <a:solidFill>
                <a:srgbClr val="639A3F"/>
              </a:solidFill>
              <a:ln w="0">
                <a:noFill/>
              </a:ln>
            </c:spPr>
          </c:dPt>
          <c:dPt>
            <c:idx val="6"/>
            <c:bubble3D val="0"/>
            <c:spPr>
              <a:solidFill>
                <a:srgbClr val="98B8DF"/>
              </a:solidFill>
              <a:ln w="0">
                <a:noFill/>
              </a:ln>
            </c:spPr>
          </c:dPt>
          <c:dPt>
            <c:idx val="7"/>
            <c:bubble3D val="0"/>
            <c:spPr>
              <a:solidFill>
                <a:srgbClr val="F1A78B"/>
              </a:solidFill>
              <a:ln w="0">
                <a:noFill/>
              </a:ln>
            </c:spPr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kê'!$E$3:$E$10</c:f>
              <c:strCache>
                <c:ptCount val="8"/>
                <c:pt idx="0">
                  <c:v>F</c:v>
                </c:pt>
                <c:pt idx="1">
                  <c:v>D</c:v>
                </c:pt>
                <c:pt idx="2">
                  <c:v>D+</c:v>
                </c:pt>
                <c:pt idx="3">
                  <c:v>C</c:v>
                </c:pt>
                <c:pt idx="4">
                  <c:v>C+</c:v>
                </c:pt>
                <c:pt idx="5">
                  <c:v>B</c:v>
                </c:pt>
                <c:pt idx="6">
                  <c:v>B+</c:v>
                </c:pt>
                <c:pt idx="7">
                  <c:v>A</c:v>
                </c:pt>
              </c:strCache>
            </c:strRef>
          </c:cat>
          <c:val>
            <c:numRef>
              <c:f>'Các bảng tham chiếu &amp; Thống kê'!$F$3:$F$10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561975</xdr:colOff>
      <xdr:row>11</xdr:row>
      <xdr:rowOff>285750</xdr:rowOff>
    </xdr:from>
    <xdr:to>
      <xdr:col>11</xdr:col>
      <xdr:colOff>621735</xdr:colOff>
      <xdr:row>22</xdr:row>
      <xdr:rowOff>29700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1"/>
  <sheetViews>
    <sheetView tabSelected="1" zoomScaleNormal="100" workbookViewId="0">
      <pane xSplit="3" ySplit="6" topLeftCell="E7" activePane="bottomRight" state="frozen"/>
      <selection pane="topRight" activeCell="D1" sqref="D1"/>
      <selection pane="bottomLeft" activeCell="A7" sqref="A7"/>
      <selection pane="bottomRight" activeCell="L22" sqref="L22"/>
    </sheetView>
  </sheetViews>
  <sheetFormatPr defaultColWidth="8.625" defaultRowHeight="15.75" customHeight="1" x14ac:dyDescent="0.25"/>
  <cols>
    <col min="2" max="2" width="12" style="1" customWidth="1"/>
    <col min="3" max="3" width="22" style="1" customWidth="1"/>
    <col min="4" max="4" width="14" style="1" customWidth="1"/>
    <col min="5" max="5" width="16" style="1" customWidth="1"/>
    <col min="6" max="6" width="15.75" style="1" customWidth="1"/>
    <col min="7" max="8" width="14" style="1" customWidth="1"/>
    <col min="9" max="9" width="14.75" style="1" customWidth="1"/>
    <col min="10" max="10" width="14" style="1" customWidth="1"/>
    <col min="11" max="11" width="12" style="1" customWidth="1"/>
    <col min="13" max="13" width="20.75" style="1" customWidth="1"/>
    <col min="15" max="15" width="19.75" style="1" customWidth="1"/>
    <col min="16" max="16" width="4" style="1" customWidth="1"/>
    <col min="17" max="17" width="11.25" style="1" customWidth="1"/>
    <col min="18" max="18" width="11" style="1" customWidth="1"/>
  </cols>
  <sheetData>
    <row r="1" spans="1:18" ht="18.75" customHeight="1" x14ac:dyDescent="0.3">
      <c r="B1" s="91" t="s">
        <v>0</v>
      </c>
      <c r="C1" s="91"/>
      <c r="D1" s="91"/>
      <c r="E1" s="91"/>
      <c r="F1" s="91"/>
      <c r="G1" s="91"/>
      <c r="H1" s="91"/>
      <c r="I1" s="2"/>
      <c r="R1" s="3"/>
    </row>
    <row r="2" spans="1:18" ht="15.75" customHeight="1" x14ac:dyDescent="0.25">
      <c r="B2" s="2" t="s">
        <v>1</v>
      </c>
      <c r="C2" s="2">
        <v>1043</v>
      </c>
      <c r="D2" s="89" t="s">
        <v>2</v>
      </c>
      <c r="E2" s="89"/>
      <c r="F2" s="89" t="s">
        <v>3</v>
      </c>
      <c r="G2" s="89"/>
      <c r="H2" s="89"/>
      <c r="I2" s="89"/>
    </row>
    <row r="3" spans="1:18" ht="15.75" customHeight="1" x14ac:dyDescent="0.25">
      <c r="B3" s="2" t="s">
        <v>4</v>
      </c>
      <c r="C3" s="2" t="s">
        <v>5</v>
      </c>
      <c r="D3" s="89" t="s">
        <v>6</v>
      </c>
      <c r="E3" s="89"/>
      <c r="F3" s="90">
        <v>8</v>
      </c>
      <c r="G3" s="90"/>
      <c r="H3" s="90"/>
      <c r="I3" s="2"/>
    </row>
    <row r="4" spans="1:18" ht="15.75" customHeight="1" x14ac:dyDescent="0.25">
      <c r="B4" s="2" t="s">
        <v>7</v>
      </c>
      <c r="C4" s="2" t="s">
        <v>8</v>
      </c>
      <c r="D4" s="89" t="s">
        <v>9</v>
      </c>
      <c r="E4" s="89"/>
      <c r="F4" s="90">
        <v>1</v>
      </c>
      <c r="G4" s="90"/>
      <c r="H4" s="90"/>
      <c r="I4" s="2"/>
    </row>
    <row r="6" spans="1:18" s="3" customFormat="1" ht="76.5" customHeight="1" x14ac:dyDescent="0.25">
      <c r="A6" s="5" t="s">
        <v>10</v>
      </c>
      <c r="B6" s="6" t="s">
        <v>11</v>
      </c>
      <c r="C6" s="6" t="s">
        <v>12</v>
      </c>
      <c r="D6" s="5" t="s">
        <v>13</v>
      </c>
      <c r="E6" s="5" t="s">
        <v>14</v>
      </c>
      <c r="F6" s="5" t="s">
        <v>15</v>
      </c>
      <c r="G6" s="5" t="s">
        <v>16</v>
      </c>
      <c r="H6" s="6" t="s">
        <v>17</v>
      </c>
      <c r="I6" s="5" t="s">
        <v>18</v>
      </c>
      <c r="J6" s="5" t="s">
        <v>19</v>
      </c>
      <c r="K6" s="5" t="s">
        <v>20</v>
      </c>
    </row>
    <row r="7" spans="1:18" ht="15.75" customHeight="1" x14ac:dyDescent="0.25">
      <c r="A7" s="7">
        <v>1</v>
      </c>
      <c r="B7" s="2" t="s">
        <v>21</v>
      </c>
      <c r="C7" s="2" t="str">
        <f>IFERROR(VLOOKUP(RIGHT(B7,8),'Các bảng tham chiếu &amp; Thống kê'!$B$3:$C$16,2,FALSE()),"")</f>
        <v>Nguyễn Văn Hiếu</v>
      </c>
      <c r="D7" s="8">
        <f>IFERROR(VLOOKUP(RIGHT(B7,8),'Điểm thực hành các buổi'!$B$3:$F$16,3,FALSE()),0)</f>
        <v>0.45</v>
      </c>
      <c r="E7" s="9">
        <f>IFERROR(VLOOKUP(RIGHT(B7,8),'Điểm thực hành các buổi'!$B$3:$F$16,4,FALSE()),0)</f>
        <v>0.25</v>
      </c>
      <c r="F7" s="8">
        <f>IFERROR(VLOOKUP(RIGHT(B7,8),'Điểm thực hành các buổi'!$B$3:$F$16,5,FALSE()),0)</f>
        <v>0.3</v>
      </c>
      <c r="G7" s="8">
        <f>IFERROR(VLOOKUP(RIGHT(B7,8),'Điểm bài tập lớn'!$B$3:$D$16,3,FALSE()),0)</f>
        <v>0.5</v>
      </c>
      <c r="H7" s="8">
        <f>IFERROR(VLOOKUP(RIGHT(B7,8),'Điểm lý thuyết'!$B$3:$D$16,3,FALSE()),0)</f>
        <v>4.2</v>
      </c>
      <c r="I7" s="10">
        <f t="shared" ref="I7:I20" si="0">ROUND(IF(H7=-3,0,SUM(D7:G7)+0.6*H7),1)</f>
        <v>4</v>
      </c>
      <c r="J7" s="10">
        <f>IF(OR(G7=0,VALUE(LEFT(B7,1))&gt;2),0,ROUND(I7+VLOOKUP(VALUE(LEFT(B7,1)),'Các bảng tham chiếu &amp; Thống kê'!$K$3:$L$5,2,FALSE()),1))</f>
        <v>5</v>
      </c>
      <c r="K7" s="11" t="str">
        <f>IFERROR(VLOOKUP(J7,'Các bảng tham chiếu &amp; Thống kê'!$H$3:$I$10,2,TRUE()),"")</f>
        <v>D+</v>
      </c>
      <c r="M7" s="81"/>
      <c r="N7" s="82"/>
      <c r="O7" s="74"/>
      <c r="P7" s="83"/>
      <c r="Q7" s="81"/>
      <c r="R7" s="75"/>
    </row>
    <row r="8" spans="1:18" ht="15.75" customHeight="1" x14ac:dyDescent="0.25">
      <c r="A8" s="7">
        <v>2</v>
      </c>
      <c r="B8" s="2" t="s">
        <v>22</v>
      </c>
      <c r="C8" s="2" t="str">
        <f>IFERROR(VLOOKUP(RIGHT(B8,8),'Các bảng tham chiếu &amp; Thống kê'!$B$3:$C$16,2,FALSE()),"")</f>
        <v>Lý Minh Trí</v>
      </c>
      <c r="D8" s="8">
        <f>IFERROR(VLOOKUP(RIGHT(B8,8),'Điểm thực hành các buổi'!$B$3:$F$16,3,FALSE()),0)</f>
        <v>0.5</v>
      </c>
      <c r="E8" s="8">
        <f>IFERROR(VLOOKUP(RIGHT(B8,8),'Điểm thực hành các buổi'!$B$3:$F$16,4,FALSE()),0)</f>
        <v>0.35</v>
      </c>
      <c r="F8" s="8">
        <f>IFERROR(VLOOKUP(RIGHT(B8,8),'Điểm thực hành các buổi'!$B$3:$F$16,5,FALSE()),0)</f>
        <v>0.4</v>
      </c>
      <c r="G8" s="8">
        <f>IFERROR(VLOOKUP(RIGHT(B8,8),'Điểm bài tập lớn'!$B$3:$D$16,3,FALSE()),0)</f>
        <v>1</v>
      </c>
      <c r="H8" s="8">
        <f>IFERROR(VLOOKUP(RIGHT(B8,8),'Điểm lý thuyết'!$B$3:$D$16,3,FALSE()),0)</f>
        <v>5.8</v>
      </c>
      <c r="I8" s="10">
        <f t="shared" si="0"/>
        <v>5.7</v>
      </c>
      <c r="J8" s="10">
        <f>IF(OR(G8=0,VALUE(LEFT(B8,1))&gt;2),0,ROUND(I8+VLOOKUP(VALUE(LEFT(B8,1)),'Các bảng tham chiếu &amp; Thống kê'!$K$3:$L$5,2,FALSE()),1))</f>
        <v>6.2</v>
      </c>
      <c r="K8" s="11" t="str">
        <f>IFERROR(VLOOKUP(J8,'Các bảng tham chiếu &amp; Thống kê'!$H$3:$I$10,2,TRUE()),"")</f>
        <v>C</v>
      </c>
      <c r="M8" s="84"/>
      <c r="N8" s="84"/>
      <c r="O8" s="84"/>
      <c r="P8" s="84"/>
      <c r="Q8" s="84"/>
      <c r="R8" s="86"/>
    </row>
    <row r="9" spans="1:18" ht="15.75" customHeight="1" x14ac:dyDescent="0.25">
      <c r="A9" s="7">
        <v>3</v>
      </c>
      <c r="B9" s="2" t="s">
        <v>23</v>
      </c>
      <c r="C9" s="2" t="str">
        <f>IFERROR(VLOOKUP(RIGHT(B9,8),'Các bảng tham chiếu &amp; Thống kê'!$B$3:$C$16,2,FALSE()),"")</f>
        <v>Nguyễn Kiều Mi</v>
      </c>
      <c r="D9" s="8">
        <f>IFERROR(VLOOKUP(RIGHT(B9,8),'Điểm thực hành các buổi'!$B$3:$F$16,3,FALSE()),0)</f>
        <v>0.25</v>
      </c>
      <c r="E9" s="8">
        <f>IFERROR(VLOOKUP(RIGHT(B9,8),'Điểm thực hành các buổi'!$B$3:$F$16,4,FALSE()),0)</f>
        <v>0.25</v>
      </c>
      <c r="F9" s="8">
        <f>IFERROR(VLOOKUP(RIGHT(B9,8),'Điểm thực hành các buổi'!$B$3:$F$16,5,FALSE()),0)</f>
        <v>0.3</v>
      </c>
      <c r="G9" s="8">
        <f>IFERROR(VLOOKUP(RIGHT(B9,8),'Điểm bài tập lớn'!$B$3:$D$16,3,FALSE()),0)</f>
        <v>0.5</v>
      </c>
      <c r="H9" s="8">
        <f>IFERROR(VLOOKUP(RIGHT(B9,8),'Điểm lý thuyết'!$B$3:$D$16,3,FALSE()),0)</f>
        <v>5.8</v>
      </c>
      <c r="I9" s="10">
        <f t="shared" si="0"/>
        <v>4.8</v>
      </c>
      <c r="J9" s="10">
        <f>IF(OR(G9=0,VALUE(LEFT(B9,1))&gt;2),0,ROUND(I9+VLOOKUP(VALUE(LEFT(B9,1)),'Các bảng tham chiếu &amp; Thống kê'!$K$3:$L$5,2,FALSE()),1))</f>
        <v>5.8</v>
      </c>
      <c r="K9" s="11" t="str">
        <f>IFERROR(VLOOKUP(J9,'Các bảng tham chiếu &amp; Thống kê'!$H$3:$I$10,2,TRUE()),"")</f>
        <v>C</v>
      </c>
      <c r="M9" s="85"/>
      <c r="N9" s="85"/>
      <c r="O9" s="85"/>
      <c r="P9" s="78"/>
      <c r="Q9" s="78"/>
      <c r="R9" s="87"/>
    </row>
    <row r="10" spans="1:18" ht="15.75" customHeight="1" x14ac:dyDescent="0.25">
      <c r="A10" s="7">
        <v>4</v>
      </c>
      <c r="B10" s="2" t="s">
        <v>24</v>
      </c>
      <c r="C10" s="2" t="str">
        <f>IFERROR(VLOOKUP(RIGHT(B10,8),'Các bảng tham chiếu &amp; Thống kê'!$B$3:$C$16,2,FALSE()),"")</f>
        <v>Đặng Duy Linh</v>
      </c>
      <c r="D10" s="8">
        <f>IFERROR(VLOOKUP(RIGHT(B10,8),'Điểm thực hành các buổi'!$B$3:$F$16,3,FALSE()),0)</f>
        <v>0.4</v>
      </c>
      <c r="E10" s="8">
        <f>IFERROR(VLOOKUP(RIGHT(B10,8),'Điểm thực hành các buổi'!$B$3:$F$16,4,FALSE()),0)</f>
        <v>0.25</v>
      </c>
      <c r="F10" s="8">
        <f>IFERROR(VLOOKUP(RIGHT(B10,8),'Điểm thực hành các buổi'!$B$3:$F$16,5,FALSE()),0)</f>
        <v>0.35</v>
      </c>
      <c r="G10" s="8">
        <f>IFERROR(VLOOKUP(RIGHT(B10,8),'Điểm bài tập lớn'!$B$3:$D$16,3,FALSE()),0)</f>
        <v>1</v>
      </c>
      <c r="H10" s="8">
        <f>IFERROR(VLOOKUP(RIGHT(B10,8),'Điểm lý thuyết'!$B$3:$D$16,3,FALSE()),0)</f>
        <v>4.5</v>
      </c>
      <c r="I10" s="10">
        <f t="shared" si="0"/>
        <v>4.7</v>
      </c>
      <c r="J10" s="10">
        <f>IF(OR(G10=0,VALUE(LEFT(B10,1))&gt;2),0,ROUND(I10+VLOOKUP(VALUE(LEFT(B10,1)),'Các bảng tham chiếu &amp; Thống kê'!$K$3:$L$5,2,FALSE()),1))</f>
        <v>5.7</v>
      </c>
      <c r="K10" s="11" t="str">
        <f>IFERROR(VLOOKUP(J10,'Các bảng tham chiếu &amp; Thống kê'!$H$3:$I$10,2,TRUE()),"")</f>
        <v>C</v>
      </c>
      <c r="M10" s="85"/>
      <c r="N10" s="85"/>
      <c r="O10" s="85"/>
      <c r="P10" s="78"/>
      <c r="Q10" s="78"/>
      <c r="R10" s="87"/>
    </row>
    <row r="11" spans="1:18" ht="15.75" customHeight="1" x14ac:dyDescent="0.25">
      <c r="A11" s="7">
        <v>5</v>
      </c>
      <c r="B11" s="2" t="s">
        <v>25</v>
      </c>
      <c r="C11" s="2" t="str">
        <f>IFERROR(VLOOKUP(RIGHT(B11,8),'Các bảng tham chiếu &amp; Thống kê'!$B$3:$C$16,2,FALSE()),"")</f>
        <v>Lê Thị Trúc Linh</v>
      </c>
      <c r="D11" s="8">
        <f>IFERROR(VLOOKUP(RIGHT(B11,8),'Điểm thực hành các buổi'!$B$3:$F$16,3,FALSE()),0)</f>
        <v>0.45</v>
      </c>
      <c r="E11" s="8">
        <f>IFERROR(VLOOKUP(RIGHT(B11,8),'Điểm thực hành các buổi'!$B$3:$F$16,4,FALSE()),0)</f>
        <v>0.4</v>
      </c>
      <c r="F11" s="8">
        <f>IFERROR(VLOOKUP(RIGHT(B11,8),'Điểm thực hành các buổi'!$B$3:$F$16,5,FALSE()),0)</f>
        <v>0.35</v>
      </c>
      <c r="G11" s="8">
        <f>IFERROR(VLOOKUP(RIGHT(B11,8),'Điểm bài tập lớn'!$B$3:$D$16,3,FALSE()),0)</f>
        <v>0.75</v>
      </c>
      <c r="H11" s="8">
        <f>IFERROR(VLOOKUP(RIGHT(B11,8),'Điểm lý thuyết'!$B$3:$D$16,3,FALSE()),0)</f>
        <v>5.5</v>
      </c>
      <c r="I11" s="10">
        <f t="shared" si="0"/>
        <v>5.3</v>
      </c>
      <c r="J11" s="10">
        <f>IF(OR(G11=0,VALUE(LEFT(B11,1))&gt;2),0,ROUND(I11+VLOOKUP(VALUE(LEFT(B11,1)),'Các bảng tham chiếu &amp; Thống kê'!$K$3:$L$5,2,FALSE()),1))</f>
        <v>5.6</v>
      </c>
      <c r="K11" s="11" t="str">
        <f>IFERROR(VLOOKUP(J11,'Các bảng tham chiếu &amp; Thống kê'!$H$3:$I$10,2,TRUE()),"")</f>
        <v>C</v>
      </c>
      <c r="M11" s="85"/>
      <c r="N11" s="85"/>
      <c r="O11" s="85"/>
      <c r="P11" s="78"/>
      <c r="Q11" s="78"/>
      <c r="R11" s="87"/>
    </row>
    <row r="12" spans="1:18" ht="15.75" customHeight="1" x14ac:dyDescent="0.25">
      <c r="A12" s="7">
        <v>6</v>
      </c>
      <c r="B12" s="2" t="s">
        <v>26</v>
      </c>
      <c r="C12" s="2" t="str">
        <f>IFERROR(VLOOKUP(RIGHT(B12,8),'Các bảng tham chiếu &amp; Thống kê'!$B$3:$C$16,2,FALSE()),"")</f>
        <v>Phạm Thị Huỳnh</v>
      </c>
      <c r="D12" s="8">
        <f>IFERROR(VLOOKUP(RIGHT(B12,8),'Điểm thực hành các buổi'!$B$3:$F$16,3,FALSE()),0)</f>
        <v>0.4</v>
      </c>
      <c r="E12" s="8">
        <f>IFERROR(VLOOKUP(RIGHT(B12,8),'Điểm thực hành các buổi'!$B$3:$F$16,4,FALSE()),0)</f>
        <v>0.45</v>
      </c>
      <c r="F12" s="8">
        <f>IFERROR(VLOOKUP(RIGHT(B12,8),'Điểm thực hành các buổi'!$B$3:$F$16,5,FALSE()),0)</f>
        <v>0.5</v>
      </c>
      <c r="G12" s="8">
        <f>IFERROR(VLOOKUP(RIGHT(B12,8),'Điểm bài tập lớn'!$B$3:$D$16,3,FALSE()),0)</f>
        <v>1.2</v>
      </c>
      <c r="H12" s="8">
        <f>IFERROR(VLOOKUP(RIGHT(B12,8),'Điểm lý thuyết'!$B$3:$D$16,3,FALSE()),0)</f>
        <v>7.5</v>
      </c>
      <c r="I12" s="10">
        <f t="shared" si="0"/>
        <v>7.1</v>
      </c>
      <c r="J12" s="10">
        <f>IF(OR(G12=0,VALUE(LEFT(B12,1))&gt;2),0,ROUND(I12+VLOOKUP(VALUE(LEFT(B12,1)),'Các bảng tham chiếu &amp; Thống kê'!$K$3:$L$5,2,FALSE()),1))</f>
        <v>8.1</v>
      </c>
      <c r="K12" s="11" t="str">
        <f>IFERROR(VLOOKUP(J12,'Các bảng tham chiếu &amp; Thống kê'!$H$3:$I$10,2,TRUE()),"")</f>
        <v>B+</v>
      </c>
      <c r="M12" s="85"/>
      <c r="N12" s="85"/>
      <c r="O12" s="85"/>
      <c r="P12" s="78"/>
      <c r="Q12" s="78"/>
      <c r="R12" s="88"/>
    </row>
    <row r="13" spans="1:18" ht="15.75" customHeight="1" x14ac:dyDescent="0.25">
      <c r="A13" s="7">
        <v>7</v>
      </c>
      <c r="B13" s="2" t="s">
        <v>27</v>
      </c>
      <c r="C13" s="2" t="str">
        <f>IFERROR(VLOOKUP(RIGHT(B13,8),'Các bảng tham chiếu &amp; Thống kê'!$B$3:$C$16,2,FALSE()),"")</f>
        <v>Lê Minh Thông</v>
      </c>
      <c r="D13" s="8">
        <f>IFERROR(VLOOKUP(RIGHT(B13,8),'Điểm thực hành các buổi'!$B$3:$F$16,3,FALSE()),0)</f>
        <v>0.4</v>
      </c>
      <c r="E13" s="8">
        <f>IFERROR(VLOOKUP(RIGHT(B13,8),'Điểm thực hành các buổi'!$B$3:$F$16,4,FALSE()),0)</f>
        <v>0.4</v>
      </c>
      <c r="F13" s="8">
        <f>IFERROR(VLOOKUP(RIGHT(B13,8),'Điểm thực hành các buổi'!$B$3:$F$16,5,FALSE()),0)</f>
        <v>0.4</v>
      </c>
      <c r="G13" s="8">
        <f>IFERROR(VLOOKUP(RIGHT(B13,8),'Điểm bài tập lớn'!$B$3:$D$16,3,FALSE()),0)</f>
        <v>1</v>
      </c>
      <c r="H13" s="8">
        <f>IFERROR(VLOOKUP(RIGHT(B13,8),'Điểm lý thuyết'!$B$3:$D$16,3,FALSE()),0)</f>
        <v>5.3</v>
      </c>
      <c r="I13" s="10">
        <f t="shared" si="0"/>
        <v>5.4</v>
      </c>
      <c r="J13" s="10">
        <f>IF(OR(G13=0,VALUE(LEFT(B13,1))&gt;2),0,ROUND(I13+VLOOKUP(VALUE(LEFT(B13,1)),'Các bảng tham chiếu &amp; Thống kê'!$K$3:$L$5,2,FALSE()),1))</f>
        <v>6.4</v>
      </c>
      <c r="K13" s="11" t="str">
        <f>IFERROR(VLOOKUP(J13,'Các bảng tham chiếu &amp; Thống kê'!$H$3:$I$10,2,TRUE()),"")</f>
        <v>C</v>
      </c>
      <c r="M13" s="85"/>
      <c r="N13" s="85"/>
      <c r="O13" s="85"/>
      <c r="P13" s="78"/>
      <c r="Q13" s="78"/>
      <c r="R13" s="88"/>
    </row>
    <row r="14" spans="1:18" ht="15.75" customHeight="1" x14ac:dyDescent="0.25">
      <c r="A14" s="7">
        <v>8</v>
      </c>
      <c r="B14" s="2" t="s">
        <v>28</v>
      </c>
      <c r="C14" s="2" t="str">
        <f>IFERROR(VLOOKUP(RIGHT(B14,8),'Các bảng tham chiếu &amp; Thống kê'!$B$3:$C$16,2,FALSE()),"")</f>
        <v>Huỳnh Thị Diễm</v>
      </c>
      <c r="D14" s="8">
        <f>IFERROR(VLOOKUP(RIGHT(B14,8),'Điểm thực hành các buổi'!$B$3:$F$16,3,FALSE()),0)</f>
        <v>0.45</v>
      </c>
      <c r="E14" s="8">
        <f>IFERROR(VLOOKUP(RIGHT(B14,8),'Điểm thực hành các buổi'!$B$3:$F$16,4,FALSE()),0)</f>
        <v>0.4</v>
      </c>
      <c r="F14" s="8">
        <f>IFERROR(VLOOKUP(RIGHT(B14,8),'Điểm thực hành các buổi'!$B$3:$F$16,5,FALSE()),0)</f>
        <v>0.45</v>
      </c>
      <c r="G14" s="8">
        <f>IFERROR(VLOOKUP(RIGHT(B14,8),'Điểm bài tập lớn'!$B$3:$D$16,3,FALSE()),0)</f>
        <v>0</v>
      </c>
      <c r="H14" s="8">
        <f>IFERROR(VLOOKUP(RIGHT(B14,8),'Điểm lý thuyết'!$B$3:$D$16,3,FALSE()),0)</f>
        <v>6.8</v>
      </c>
      <c r="I14" s="10">
        <f t="shared" si="0"/>
        <v>5.4</v>
      </c>
      <c r="J14" s="10">
        <f>IF(OR(G14=0,VALUE(LEFT(B14,1))&gt;2),0,ROUND(I14+VLOOKUP(VALUE(LEFT(B14,1)),'Các bảng tham chiếu &amp; Thống kê'!$K$3:$L$5,2,FALSE()),1))</f>
        <v>0</v>
      </c>
      <c r="K14" s="11" t="str">
        <f>IFERROR(VLOOKUP(J14,'Các bảng tham chiếu &amp; Thống kê'!$H$3:$I$10,2,TRUE()),"")</f>
        <v>F</v>
      </c>
      <c r="M14" s="85"/>
      <c r="N14" s="85"/>
      <c r="O14" s="85"/>
      <c r="P14" s="78"/>
      <c r="Q14" s="78"/>
      <c r="R14" s="88"/>
    </row>
    <row r="15" spans="1:18" ht="15.75" customHeight="1" x14ac:dyDescent="0.25">
      <c r="A15" s="7">
        <v>9</v>
      </c>
      <c r="B15" s="2" t="s">
        <v>29</v>
      </c>
      <c r="C15" s="2" t="str">
        <f>IFERROR(VLOOKUP(RIGHT(B15,8),'Các bảng tham chiếu &amp; Thống kê'!$B$3:$C$16,2,FALSE()),"")</f>
        <v>Trần Thanh Nguyên</v>
      </c>
      <c r="D15" s="8">
        <f>IFERROR(VLOOKUP(RIGHT(B15,8),'Điểm thực hành các buổi'!$B$3:$F$16,3,FALSE()),0)</f>
        <v>0.45</v>
      </c>
      <c r="E15" s="8">
        <f>IFERROR(VLOOKUP(RIGHT(B15,8),'Điểm thực hành các buổi'!$B$3:$F$16,4,FALSE()),0)</f>
        <v>0.4</v>
      </c>
      <c r="F15" s="8">
        <f>IFERROR(VLOOKUP(RIGHT(B15,8),'Điểm thực hành các buổi'!$B$3:$F$16,5,FALSE()),0)</f>
        <v>0.4</v>
      </c>
      <c r="G15" s="8">
        <f>IFERROR(VLOOKUP(RIGHT(B15,8),'Điểm bài tập lớn'!$B$3:$D$16,3,FALSE()),0)</f>
        <v>0.75</v>
      </c>
      <c r="H15" s="8">
        <f>IFERROR(VLOOKUP(RIGHT(B15,8),'Điểm lý thuyết'!$B$3:$D$16,3,FALSE()),0)</f>
        <v>6.3</v>
      </c>
      <c r="I15" s="10">
        <f t="shared" si="0"/>
        <v>5.8</v>
      </c>
      <c r="J15" s="10">
        <f>IF(OR(G15=0,VALUE(LEFT(B15,1))&gt;2),0,ROUND(I15+VLOOKUP(VALUE(LEFT(B15,1)),'Các bảng tham chiếu &amp; Thống kê'!$K$3:$L$5,2,FALSE()),1))</f>
        <v>6.8</v>
      </c>
      <c r="K15" s="11" t="str">
        <f>IFERROR(VLOOKUP(J15,'Các bảng tham chiếu &amp; Thống kê'!$H$3:$I$10,2,TRUE()),"")</f>
        <v>C+</v>
      </c>
      <c r="M15" s="85"/>
      <c r="N15" s="85"/>
      <c r="O15" s="85"/>
      <c r="P15" s="78"/>
      <c r="Q15" s="78"/>
      <c r="R15" s="88"/>
    </row>
    <row r="16" spans="1:18" ht="15.75" customHeight="1" x14ac:dyDescent="0.25">
      <c r="A16" s="7">
        <v>10</v>
      </c>
      <c r="B16" s="2" t="s">
        <v>30</v>
      </c>
      <c r="C16" s="2" t="str">
        <f>IFERROR(VLOOKUP(RIGHT(B16,8),'Các bảng tham chiếu &amp; Thống kê'!$B$3:$C$16,2,FALSE()),"")</f>
        <v>Nguyễn Thị Đào</v>
      </c>
      <c r="D16" s="8">
        <f>IFERROR(VLOOKUP(RIGHT(B16,8),'Điểm thực hành các buổi'!$B$3:$F$16,3,FALSE()),0)</f>
        <v>0.3</v>
      </c>
      <c r="E16" s="8">
        <f>IFERROR(VLOOKUP(RIGHT(B16,8),'Điểm thực hành các buổi'!$B$3:$F$16,4,FALSE()),0)</f>
        <v>0.5</v>
      </c>
      <c r="F16" s="8">
        <f>IFERROR(VLOOKUP(RIGHT(B16,8),'Điểm thực hành các buổi'!$B$3:$F$16,5,FALSE()),0)</f>
        <v>0.45</v>
      </c>
      <c r="G16" s="8">
        <f>IFERROR(VLOOKUP(RIGHT(B16,8),'Điểm bài tập lớn'!$B$3:$D$16,3,FALSE()),0)</f>
        <v>0.3</v>
      </c>
      <c r="H16" s="8">
        <f>IFERROR(VLOOKUP(RIGHT(B16,8),'Điểm lý thuyết'!$B$3:$D$16,3,FALSE()),0)</f>
        <v>8.3000000000000007</v>
      </c>
      <c r="I16" s="10">
        <f t="shared" si="0"/>
        <v>6.5</v>
      </c>
      <c r="J16" s="10">
        <f>IF(OR(G16=0,VALUE(LEFT(B16,1))&gt;2),0,ROUND(I16+VLOOKUP(VALUE(LEFT(B16,1)),'Các bảng tham chiếu &amp; Thống kê'!$K$3:$L$5,2,FALSE()),1))</f>
        <v>7</v>
      </c>
      <c r="K16" s="11" t="str">
        <f>IFERROR(VLOOKUP(J16,'Các bảng tham chiếu &amp; Thống kê'!$H$3:$I$10,2,TRUE()),"")</f>
        <v>B</v>
      </c>
      <c r="M16" s="85"/>
      <c r="N16" s="85"/>
      <c r="O16" s="85"/>
      <c r="P16" s="78"/>
      <c r="Q16" s="78"/>
      <c r="R16" s="88"/>
    </row>
    <row r="17" spans="1:11" ht="15.75" customHeight="1" x14ac:dyDescent="0.25">
      <c r="A17" s="7">
        <v>11</v>
      </c>
      <c r="B17" s="2" t="s">
        <v>31</v>
      </c>
      <c r="C17" s="2" t="str">
        <f>IFERROR(VLOOKUP(RIGHT(B17,8),'Các bảng tham chiếu &amp; Thống kê'!$B$3:$C$16,2,FALSE()),"")</f>
        <v>Nguyễn Chí Thanh</v>
      </c>
      <c r="D17" s="8">
        <f>IFERROR(VLOOKUP(RIGHT(B17,8),'Điểm thực hành các buổi'!$B$3:$F$16,3,FALSE()),0)</f>
        <v>0.4</v>
      </c>
      <c r="E17" s="8">
        <f>IFERROR(VLOOKUP(RIGHT(B17,8),'Điểm thực hành các buổi'!$B$3:$F$16,4,FALSE()),0)</f>
        <v>0.45</v>
      </c>
      <c r="F17" s="8">
        <f>IFERROR(VLOOKUP(RIGHT(B17,8),'Điểm thực hành các buổi'!$B$3:$F$16,5,FALSE()),0)</f>
        <v>0.4</v>
      </c>
      <c r="G17" s="8">
        <f>IFERROR(VLOOKUP(RIGHT(B17,8),'Điểm bài tập lớn'!$B$3:$D$16,3,FALSE()),0)</f>
        <v>0.3</v>
      </c>
      <c r="H17" s="8">
        <f>IFERROR(VLOOKUP(RIGHT(B17,8),'Điểm lý thuyết'!$B$3:$D$16,3,FALSE()),0)</f>
        <v>-3</v>
      </c>
      <c r="I17" s="10">
        <f t="shared" si="0"/>
        <v>0</v>
      </c>
      <c r="J17" s="10">
        <f>IF(OR(G17=0,VALUE(LEFT(B17,1))&gt;2),0,ROUND(I17+VLOOKUP(VALUE(LEFT(B17,1)),'Các bảng tham chiếu &amp; Thống kê'!$K$3:$L$5,2,FALSE()),1))</f>
        <v>0</v>
      </c>
      <c r="K17" s="11" t="str">
        <f>IFERROR(VLOOKUP(J17,'Các bảng tham chiếu &amp; Thống kê'!$H$3:$I$10,2,TRUE()),"")</f>
        <v>F</v>
      </c>
    </row>
    <row r="18" spans="1:11" ht="15.75" customHeight="1" x14ac:dyDescent="0.25">
      <c r="A18" s="7">
        <v>12</v>
      </c>
      <c r="B18" s="2" t="s">
        <v>32</v>
      </c>
      <c r="C18" s="2" t="str">
        <f>IFERROR(VLOOKUP(RIGHT(B18,8),'Các bảng tham chiếu &amp; Thống kê'!$B$3:$C$16,2,FALSE()),"")</f>
        <v>Nguyễn Hải Anh</v>
      </c>
      <c r="D18" s="8">
        <f>IFERROR(VLOOKUP(RIGHT(B18,8),'Điểm thực hành các buổi'!$B$3:$F$16,3,FALSE()),0)</f>
        <v>0.5</v>
      </c>
      <c r="E18" s="8">
        <f>IFERROR(VLOOKUP(RIGHT(B18,8),'Điểm thực hành các buổi'!$B$3:$F$16,4,FALSE()),0)</f>
        <v>0.5</v>
      </c>
      <c r="F18" s="8">
        <f>IFERROR(VLOOKUP(RIGHT(B18,8),'Điểm thực hành các buổi'!$B$3:$F$16,5,FALSE()),0)</f>
        <v>0.45</v>
      </c>
      <c r="G18" s="8">
        <f>IFERROR(VLOOKUP(RIGHT(B18,8),'Điểm bài tập lớn'!$B$3:$D$16,3,FALSE()),0)</f>
        <v>1.5</v>
      </c>
      <c r="H18" s="8">
        <f>IFERROR(VLOOKUP(RIGHT(B18,8),'Điểm lý thuyết'!$B$3:$D$16,3,FALSE()),0)</f>
        <v>7</v>
      </c>
      <c r="I18" s="10">
        <f t="shared" si="0"/>
        <v>7.2</v>
      </c>
      <c r="J18" s="10">
        <f>IF(OR(G18=0,VALUE(LEFT(B18,1))&gt;2),0,ROUND(I18+VLOOKUP(VALUE(LEFT(B18,1)),'Các bảng tham chiếu &amp; Thống kê'!$K$3:$L$5,2,FALSE()),1))</f>
        <v>7.5</v>
      </c>
      <c r="K18" s="11" t="str">
        <f>IFERROR(VLOOKUP(J18,'Các bảng tham chiếu &amp; Thống kê'!$H$3:$I$10,2,TRUE()),"")</f>
        <v>B</v>
      </c>
    </row>
    <row r="19" spans="1:11" ht="15.75" customHeight="1" x14ac:dyDescent="0.25">
      <c r="A19" s="7">
        <v>13</v>
      </c>
      <c r="B19" s="2" t="s">
        <v>33</v>
      </c>
      <c r="C19" s="2" t="str">
        <f>IFERROR(VLOOKUP(RIGHT(B19,8),'Các bảng tham chiếu &amp; Thống kê'!$B$3:$C$16,2,FALSE()),"")</f>
        <v>Trần Nam Dương</v>
      </c>
      <c r="D19" s="8">
        <f>IFERROR(VLOOKUP(RIGHT(B19,8),'Điểm thực hành các buổi'!$B$3:$F$16,3,FALSE()),0)</f>
        <v>0.4</v>
      </c>
      <c r="E19" s="8">
        <f>IFERROR(VLOOKUP(RIGHT(B19,8),'Điểm thực hành các buổi'!$B$3:$F$16,4,FALSE()),0)</f>
        <v>0.4</v>
      </c>
      <c r="F19" s="8">
        <f>IFERROR(VLOOKUP(RIGHT(B19,8),'Điểm thực hành các buổi'!$B$3:$F$16,5,FALSE()),0)</f>
        <v>0.35</v>
      </c>
      <c r="G19" s="8">
        <f>IFERROR(VLOOKUP(RIGHT(B19,8),'Điểm bài tập lớn'!$B$3:$D$16,3,FALSE()),0)</f>
        <v>1.35</v>
      </c>
      <c r="H19" s="8">
        <f>IFERROR(VLOOKUP(RIGHT(B19,8),'Điểm lý thuyết'!$B$3:$D$16,3,FALSE()),0)</f>
        <v>-3</v>
      </c>
      <c r="I19" s="10">
        <f t="shared" si="0"/>
        <v>0</v>
      </c>
      <c r="J19" s="10">
        <f>IF(OR(G19=0,VALUE(LEFT(B19,1))&gt;2),0,ROUND(I19+VLOOKUP(VALUE(LEFT(B19,1)),'Các bảng tham chiếu &amp; Thống kê'!$K$3:$L$5,2,FALSE()),1))</f>
        <v>0</v>
      </c>
      <c r="K19" s="11" t="str">
        <f>IFERROR(VLOOKUP(J19,'Các bảng tham chiếu &amp; Thống kê'!$H$3:$I$10,2,TRUE()),"")</f>
        <v>F</v>
      </c>
    </row>
    <row r="20" spans="1:11" ht="15.75" customHeight="1" x14ac:dyDescent="0.25">
      <c r="A20" s="7">
        <v>14</v>
      </c>
      <c r="B20" s="2" t="s">
        <v>34</v>
      </c>
      <c r="C20" s="2" t="str">
        <f>IFERROR(VLOOKUP(RIGHT(B20,8),'Các bảng tham chiếu &amp; Thống kê'!$B$3:$C$16,2,FALSE()),"")</f>
        <v>Nguyễn Duy Khanh</v>
      </c>
      <c r="D20" s="8">
        <f>IFERROR(VLOOKUP(RIGHT(B20,8),'Điểm thực hành các buổi'!$B$3:$F$16,3,FALSE()),0)</f>
        <v>0.35</v>
      </c>
      <c r="E20" s="8">
        <f>IFERROR(VLOOKUP(RIGHT(B20,8),'Điểm thực hành các buổi'!$B$3:$F$16,4,FALSE()),0)</f>
        <v>0.4</v>
      </c>
      <c r="F20" s="8">
        <f>IFERROR(VLOOKUP(RIGHT(B20,8),'Điểm thực hành các buổi'!$B$3:$F$16,5,FALSE()),0)</f>
        <v>0</v>
      </c>
      <c r="G20" s="8">
        <f>IFERROR(VLOOKUP(RIGHT(B20,8),'Điểm bài tập lớn'!$B$3:$D$16,3,FALSE()),0)</f>
        <v>0.85</v>
      </c>
      <c r="H20" s="8">
        <f>IFERROR(VLOOKUP(RIGHT(B20,8),'Điểm lý thuyết'!$B$3:$D$16,3,FALSE()),0)</f>
        <v>6.5</v>
      </c>
      <c r="I20" s="10">
        <f t="shared" si="0"/>
        <v>5.5</v>
      </c>
      <c r="J20" s="10">
        <f>IF(OR(G20=0,VALUE(LEFT(B20,1))&gt;2),0,ROUND(I20+VLOOKUP(VALUE(LEFT(B20,1)),'Các bảng tham chiếu &amp; Thống kê'!$K$3:$L$5,2,FALSE()),1))</f>
        <v>6.5</v>
      </c>
      <c r="K20" s="11" t="str">
        <f>IFERROR(VLOOKUP(J20,'Các bảng tham chiếu &amp; Thống kê'!$H$3:$I$10,2,TRUE()),"")</f>
        <v>C+</v>
      </c>
    </row>
    <row r="22" spans="1:11" ht="15.75" customHeight="1" x14ac:dyDescent="0.25">
      <c r="A22" s="77"/>
      <c r="B22" s="78"/>
      <c r="C22" s="78"/>
      <c r="D22" s="78"/>
      <c r="E22" s="80"/>
      <c r="F22" s="78"/>
      <c r="G22" s="78"/>
      <c r="H22" s="72"/>
      <c r="I22" s="72"/>
      <c r="J22" s="72"/>
      <c r="K22" s="72"/>
    </row>
    <row r="23" spans="1:11" ht="15.75" customHeight="1" x14ac:dyDescent="0.25">
      <c r="A23" s="76"/>
      <c r="B23" s="77"/>
      <c r="C23" s="77"/>
      <c r="D23" s="78"/>
      <c r="E23" s="77"/>
      <c r="F23" s="77"/>
      <c r="G23" s="79"/>
    </row>
    <row r="24" spans="1:11" ht="15.75" customHeight="1" x14ac:dyDescent="0.25">
      <c r="A24" s="66"/>
      <c r="B24" s="64"/>
      <c r="C24" s="64"/>
      <c r="D24" s="64"/>
      <c r="E24" s="67"/>
      <c r="F24" s="64"/>
      <c r="G24" s="65"/>
    </row>
    <row r="25" spans="1:11" ht="15.75" customHeight="1" x14ac:dyDescent="0.25">
      <c r="A25" s="66"/>
      <c r="B25" s="64"/>
      <c r="C25" s="64"/>
      <c r="D25" s="64"/>
      <c r="E25" s="67"/>
      <c r="F25" s="64"/>
      <c r="G25" s="65"/>
    </row>
    <row r="26" spans="1:11" ht="15.75" customHeight="1" x14ac:dyDescent="0.25">
      <c r="A26" s="66"/>
      <c r="B26" s="64"/>
      <c r="C26" s="64"/>
      <c r="D26" s="64"/>
      <c r="E26" s="67"/>
      <c r="F26" s="64"/>
      <c r="G26" s="65"/>
    </row>
    <row r="27" spans="1:11" ht="15.75" customHeight="1" x14ac:dyDescent="0.25">
      <c r="A27" s="66"/>
      <c r="B27" s="64"/>
      <c r="C27" s="64"/>
      <c r="D27" s="64"/>
      <c r="E27" s="67"/>
      <c r="F27" s="64"/>
      <c r="G27" s="65"/>
    </row>
    <row r="28" spans="1:11" ht="15.75" customHeight="1" x14ac:dyDescent="0.25">
      <c r="A28" s="66"/>
      <c r="B28" s="64"/>
      <c r="C28" s="64"/>
      <c r="D28" s="64"/>
      <c r="E28" s="67"/>
      <c r="F28" s="64"/>
      <c r="G28" s="65"/>
      <c r="H28" s="12"/>
    </row>
    <row r="29" spans="1:11" ht="15.75" customHeight="1" x14ac:dyDescent="0.25">
      <c r="A29" s="66"/>
      <c r="B29" s="64"/>
      <c r="C29" s="64"/>
      <c r="D29" s="64"/>
      <c r="E29" s="67"/>
      <c r="F29" s="64"/>
      <c r="G29" s="65"/>
    </row>
    <row r="30" spans="1:11" ht="15.75" customHeight="1" x14ac:dyDescent="0.25">
      <c r="A30" s="66"/>
      <c r="B30" s="64"/>
      <c r="C30" s="64"/>
      <c r="D30" s="64"/>
      <c r="E30" s="67"/>
      <c r="F30" s="64"/>
      <c r="G30" s="65"/>
    </row>
    <row r="31" spans="1:11" ht="15.75" customHeight="1" x14ac:dyDescent="0.25">
      <c r="A31" s="66"/>
      <c r="B31" s="64"/>
      <c r="C31" s="64"/>
      <c r="D31" s="64"/>
      <c r="E31" s="67"/>
      <c r="F31" s="64"/>
      <c r="G31" s="65"/>
    </row>
    <row r="32" spans="1:11" ht="15.75" customHeight="1" x14ac:dyDescent="0.25">
      <c r="A32" s="66"/>
      <c r="B32" s="64"/>
      <c r="C32" s="64"/>
      <c r="D32" s="64"/>
      <c r="E32" s="64"/>
      <c r="F32" s="64"/>
      <c r="G32" s="65"/>
    </row>
    <row r="33" spans="1:7" ht="15.75" customHeight="1" x14ac:dyDescent="0.25">
      <c r="A33" s="66"/>
      <c r="B33" s="64"/>
      <c r="C33" s="64"/>
      <c r="D33" s="64"/>
      <c r="E33" s="67"/>
      <c r="F33" s="64"/>
      <c r="G33" s="65"/>
    </row>
    <row r="34" spans="1:7" ht="15.75" customHeight="1" x14ac:dyDescent="0.25">
      <c r="A34" s="66"/>
      <c r="B34" s="64"/>
      <c r="C34" s="64"/>
      <c r="D34" s="64"/>
      <c r="E34" s="68"/>
      <c r="F34" s="69"/>
      <c r="G34" s="65"/>
    </row>
    <row r="35" spans="1:7" ht="15.75" customHeight="1" x14ac:dyDescent="0.25">
      <c r="A35" s="66"/>
      <c r="B35" s="64"/>
      <c r="C35" s="64"/>
      <c r="D35" s="64"/>
      <c r="E35" s="64"/>
      <c r="F35" s="64"/>
      <c r="G35" s="65"/>
    </row>
    <row r="36" spans="1:7" ht="15.75" customHeight="1" x14ac:dyDescent="0.25">
      <c r="A36" s="66"/>
      <c r="B36" s="64"/>
      <c r="C36" s="64"/>
      <c r="D36" s="64"/>
      <c r="E36" s="64"/>
      <c r="F36" s="64"/>
      <c r="G36" s="65"/>
    </row>
    <row r="37" spans="1:7" ht="15.75" customHeight="1" x14ac:dyDescent="0.25">
      <c r="A37" s="66"/>
      <c r="B37" s="64"/>
      <c r="C37" s="64"/>
      <c r="D37" s="64"/>
      <c r="E37" s="64"/>
      <c r="F37" s="67"/>
      <c r="G37" s="65"/>
    </row>
    <row r="38" spans="1:7" ht="15.75" customHeight="1" x14ac:dyDescent="0.25">
      <c r="A38" s="70"/>
      <c r="B38" s="64"/>
      <c r="C38" s="64"/>
      <c r="D38" s="64"/>
      <c r="E38" s="64"/>
      <c r="F38" s="64"/>
      <c r="G38" s="65"/>
    </row>
    <row r="39" spans="1:7" ht="15.75" customHeight="1" x14ac:dyDescent="0.25">
      <c r="A39" s="70"/>
      <c r="B39" s="64"/>
      <c r="C39" s="64"/>
      <c r="D39" s="64"/>
      <c r="E39" s="64"/>
      <c r="F39" s="64"/>
      <c r="G39" s="65"/>
    </row>
    <row r="40" spans="1:7" ht="15.75" customHeight="1" x14ac:dyDescent="0.25">
      <c r="A40" s="70"/>
      <c r="B40" s="64"/>
      <c r="C40" s="64"/>
      <c r="D40" s="64"/>
      <c r="E40" s="64"/>
      <c r="F40" s="64"/>
      <c r="G40" s="65"/>
    </row>
    <row r="41" spans="1:7" ht="15.75" customHeight="1" x14ac:dyDescent="0.25">
      <c r="A41" s="71"/>
      <c r="B41" s="72"/>
      <c r="C41" s="72"/>
      <c r="D41" s="72"/>
      <c r="E41" s="72"/>
      <c r="F41" s="72"/>
      <c r="G41" s="73"/>
    </row>
  </sheetData>
  <mergeCells count="7">
    <mergeCell ref="D4:E4"/>
    <mergeCell ref="F4:H4"/>
    <mergeCell ref="B1:H1"/>
    <mergeCell ref="D2:E2"/>
    <mergeCell ref="F2:I2"/>
    <mergeCell ref="D3:E3"/>
    <mergeCell ref="F3:H3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zoomScaleNormal="100" workbookViewId="0">
      <pane ySplit="2" topLeftCell="A3" activePane="bottomLeft" state="frozen"/>
      <selection pane="bottomLeft" activeCell="H26" sqref="H26"/>
    </sheetView>
  </sheetViews>
  <sheetFormatPr defaultColWidth="8.625" defaultRowHeight="15.75" customHeight="1" x14ac:dyDescent="0.25"/>
  <cols>
    <col min="2" max="2" width="9.125" style="1" customWidth="1"/>
    <col min="3" max="3" width="16" style="1" customWidth="1"/>
  </cols>
  <sheetData>
    <row r="1" spans="1:6" ht="15.75" customHeight="1" x14ac:dyDescent="0.25">
      <c r="A1" s="92" t="s">
        <v>35</v>
      </c>
      <c r="B1" s="92"/>
      <c r="C1" s="92"/>
      <c r="D1" s="92"/>
      <c r="E1" s="92"/>
      <c r="F1" s="92"/>
    </row>
    <row r="2" spans="1:6" ht="15.75" customHeight="1" x14ac:dyDescent="0.25">
      <c r="A2" s="14" t="s">
        <v>36</v>
      </c>
      <c r="B2" s="13" t="s">
        <v>37</v>
      </c>
      <c r="C2" s="14" t="s">
        <v>38</v>
      </c>
      <c r="D2" s="14" t="s">
        <v>39</v>
      </c>
      <c r="E2" s="14" t="s">
        <v>40</v>
      </c>
      <c r="F2" s="14" t="s">
        <v>41</v>
      </c>
    </row>
    <row r="3" spans="1:6" ht="15.75" customHeight="1" x14ac:dyDescent="0.25">
      <c r="A3" s="4">
        <v>1</v>
      </c>
      <c r="B3" s="4" t="s">
        <v>42</v>
      </c>
      <c r="C3" s="4" t="s">
        <v>43</v>
      </c>
      <c r="D3" s="4">
        <v>0.45</v>
      </c>
      <c r="E3" s="4">
        <v>0.25</v>
      </c>
      <c r="F3" s="4">
        <v>0.3</v>
      </c>
    </row>
    <row r="4" spans="1:6" ht="15.75" customHeight="1" x14ac:dyDescent="0.25">
      <c r="A4" s="4">
        <v>2</v>
      </c>
      <c r="B4" s="4" t="s">
        <v>44</v>
      </c>
      <c r="C4" s="4" t="s">
        <v>45</v>
      </c>
      <c r="D4" s="4">
        <v>0.5</v>
      </c>
      <c r="E4" s="4">
        <v>0.35</v>
      </c>
      <c r="F4" s="4">
        <v>0.4</v>
      </c>
    </row>
    <row r="5" spans="1:6" ht="15.75" customHeight="1" x14ac:dyDescent="0.25">
      <c r="A5" s="4">
        <v>3</v>
      </c>
      <c r="B5" s="4" t="s">
        <v>46</v>
      </c>
      <c r="C5" s="4" t="s">
        <v>47</v>
      </c>
      <c r="D5" s="4">
        <v>0.25</v>
      </c>
      <c r="E5" s="4">
        <v>0.25</v>
      </c>
      <c r="F5" s="4">
        <v>0.3</v>
      </c>
    </row>
    <row r="6" spans="1:6" ht="15.75" customHeight="1" x14ac:dyDescent="0.25">
      <c r="A6" s="4">
        <v>4</v>
      </c>
      <c r="B6" s="4" t="s">
        <v>48</v>
      </c>
      <c r="C6" s="4" t="s">
        <v>49</v>
      </c>
      <c r="D6" s="4">
        <v>0.4</v>
      </c>
      <c r="E6" s="4">
        <v>0.25</v>
      </c>
      <c r="F6" s="4">
        <v>0.35</v>
      </c>
    </row>
    <row r="7" spans="1:6" ht="15.75" customHeight="1" x14ac:dyDescent="0.25">
      <c r="A7" s="4">
        <v>5</v>
      </c>
      <c r="B7" s="4" t="s">
        <v>50</v>
      </c>
      <c r="C7" s="4" t="s">
        <v>51</v>
      </c>
      <c r="D7" s="4">
        <v>0.45</v>
      </c>
      <c r="E7" s="4">
        <v>0.4</v>
      </c>
      <c r="F7" s="4">
        <v>0.35</v>
      </c>
    </row>
    <row r="8" spans="1:6" ht="15.75" customHeight="1" x14ac:dyDescent="0.25">
      <c r="A8" s="4">
        <v>6</v>
      </c>
      <c r="B8" s="4" t="s">
        <v>52</v>
      </c>
      <c r="C8" s="4" t="s">
        <v>53</v>
      </c>
      <c r="D8" s="4">
        <v>0.4</v>
      </c>
      <c r="E8" s="4">
        <v>0.45</v>
      </c>
      <c r="F8" s="4">
        <v>0.5</v>
      </c>
    </row>
    <row r="9" spans="1:6" ht="15.75" customHeight="1" x14ac:dyDescent="0.25">
      <c r="A9" s="4">
        <v>7</v>
      </c>
      <c r="B9" s="4" t="s">
        <v>54</v>
      </c>
      <c r="C9" s="4" t="s">
        <v>55</v>
      </c>
      <c r="D9" s="4">
        <v>0.4</v>
      </c>
      <c r="E9" s="4">
        <v>0.4</v>
      </c>
      <c r="F9" s="4">
        <v>0.4</v>
      </c>
    </row>
    <row r="10" spans="1:6" ht="15.75" customHeight="1" x14ac:dyDescent="0.25">
      <c r="A10" s="4">
        <v>8</v>
      </c>
      <c r="B10" s="4" t="s">
        <v>56</v>
      </c>
      <c r="C10" s="4" t="s">
        <v>57</v>
      </c>
      <c r="D10" s="4">
        <v>0.45</v>
      </c>
      <c r="E10" s="4">
        <v>0.4</v>
      </c>
      <c r="F10" s="4">
        <v>0.45</v>
      </c>
    </row>
    <row r="11" spans="1:6" ht="15.75" customHeight="1" x14ac:dyDescent="0.25">
      <c r="A11" s="4">
        <v>9</v>
      </c>
      <c r="B11" s="4" t="s">
        <v>58</v>
      </c>
      <c r="C11" s="4" t="s">
        <v>59</v>
      </c>
      <c r="D11" s="4">
        <v>0.45</v>
      </c>
      <c r="E11" s="4">
        <v>0.4</v>
      </c>
      <c r="F11" s="4">
        <v>0.4</v>
      </c>
    </row>
    <row r="12" spans="1:6" ht="15.75" customHeight="1" x14ac:dyDescent="0.25">
      <c r="A12" s="4">
        <v>10</v>
      </c>
      <c r="B12" s="4" t="s">
        <v>60</v>
      </c>
      <c r="C12" s="4" t="s">
        <v>61</v>
      </c>
      <c r="D12" s="4">
        <v>0.3</v>
      </c>
      <c r="E12" s="4">
        <v>0.5</v>
      </c>
      <c r="F12" s="4">
        <v>0.45</v>
      </c>
    </row>
    <row r="13" spans="1:6" ht="15.75" customHeight="1" x14ac:dyDescent="0.25">
      <c r="A13" s="4">
        <v>11</v>
      </c>
      <c r="B13" s="4" t="s">
        <v>62</v>
      </c>
      <c r="C13" s="4" t="s">
        <v>63</v>
      </c>
      <c r="D13" s="4">
        <v>0.4</v>
      </c>
      <c r="E13" s="4">
        <v>0.45</v>
      </c>
      <c r="F13" s="4">
        <v>0.4</v>
      </c>
    </row>
    <row r="14" spans="1:6" ht="15.75" customHeight="1" x14ac:dyDescent="0.25">
      <c r="A14" s="4">
        <v>12</v>
      </c>
      <c r="B14" s="4" t="s">
        <v>64</v>
      </c>
      <c r="C14" s="4" t="s">
        <v>65</v>
      </c>
      <c r="D14" s="4">
        <v>0.5</v>
      </c>
      <c r="E14" s="4">
        <v>0.5</v>
      </c>
      <c r="F14" s="4">
        <v>0.45</v>
      </c>
    </row>
    <row r="15" spans="1:6" ht="15.75" customHeight="1" x14ac:dyDescent="0.25">
      <c r="A15" s="4">
        <v>13</v>
      </c>
      <c r="B15" s="4" t="s">
        <v>66</v>
      </c>
      <c r="C15" s="4" t="s">
        <v>67</v>
      </c>
      <c r="D15" s="4">
        <v>0.4</v>
      </c>
      <c r="E15" s="4">
        <v>0.4</v>
      </c>
      <c r="F15" s="4">
        <v>0.35</v>
      </c>
    </row>
    <row r="16" spans="1:6" ht="15.75" customHeight="1" x14ac:dyDescent="0.25">
      <c r="A16" s="4">
        <v>14</v>
      </c>
      <c r="B16" s="4" t="s">
        <v>68</v>
      </c>
      <c r="C16" s="4" t="s">
        <v>69</v>
      </c>
      <c r="D16" s="4">
        <v>0.35</v>
      </c>
      <c r="E16" s="4">
        <v>0.4</v>
      </c>
      <c r="F16" s="4">
        <v>0</v>
      </c>
    </row>
  </sheetData>
  <autoFilter ref="A2:F16"/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zoomScaleNormal="100" workbookViewId="0">
      <pane ySplit="2" topLeftCell="A3" activePane="bottomLeft" state="frozen"/>
      <selection pane="bottomLeft" activeCell="G32" sqref="G32"/>
    </sheetView>
  </sheetViews>
  <sheetFormatPr defaultColWidth="8.625" defaultRowHeight="15.75" customHeight="1" x14ac:dyDescent="0.25"/>
  <cols>
    <col min="2" max="2" width="9.125" style="1" customWidth="1"/>
    <col min="3" max="3" width="16" style="1" customWidth="1"/>
    <col min="4" max="4" width="10.375" style="1" customWidth="1"/>
  </cols>
  <sheetData>
    <row r="1" spans="1:4" ht="15.75" customHeight="1" x14ac:dyDescent="0.25">
      <c r="A1" s="93" t="s">
        <v>70</v>
      </c>
      <c r="B1" s="93"/>
      <c r="C1" s="93"/>
      <c r="D1" s="93"/>
    </row>
    <row r="2" spans="1:4" ht="15.75" customHeight="1" x14ac:dyDescent="0.25">
      <c r="A2" s="14" t="s">
        <v>10</v>
      </c>
      <c r="B2" s="14" t="s">
        <v>11</v>
      </c>
      <c r="C2" s="14" t="s">
        <v>71</v>
      </c>
      <c r="D2" s="14" t="s">
        <v>72</v>
      </c>
    </row>
    <row r="3" spans="1:4" ht="15.75" customHeight="1" x14ac:dyDescent="0.25">
      <c r="A3" s="4">
        <v>1</v>
      </c>
      <c r="B3" s="4" t="s">
        <v>42</v>
      </c>
      <c r="C3" s="15" t="s">
        <v>43</v>
      </c>
      <c r="D3" s="4">
        <v>0.5</v>
      </c>
    </row>
    <row r="4" spans="1:4" ht="15.75" customHeight="1" x14ac:dyDescent="0.25">
      <c r="A4" s="4">
        <v>2</v>
      </c>
      <c r="B4" s="4" t="s">
        <v>44</v>
      </c>
      <c r="C4" s="15" t="s">
        <v>45</v>
      </c>
      <c r="D4" s="4">
        <v>1</v>
      </c>
    </row>
    <row r="5" spans="1:4" ht="15.75" customHeight="1" x14ac:dyDescent="0.25">
      <c r="A5" s="4">
        <v>3</v>
      </c>
      <c r="B5" s="4" t="s">
        <v>46</v>
      </c>
      <c r="C5" s="15" t="s">
        <v>47</v>
      </c>
      <c r="D5" s="4">
        <v>0.5</v>
      </c>
    </row>
    <row r="6" spans="1:4" ht="15.75" customHeight="1" x14ac:dyDescent="0.25">
      <c r="A6" s="4">
        <v>4</v>
      </c>
      <c r="B6" s="4" t="s">
        <v>48</v>
      </c>
      <c r="C6" s="15" t="s">
        <v>73</v>
      </c>
      <c r="D6" s="4">
        <v>1</v>
      </c>
    </row>
    <row r="7" spans="1:4" ht="15.75" customHeight="1" x14ac:dyDescent="0.25">
      <c r="A7" s="4">
        <v>5</v>
      </c>
      <c r="B7" s="4" t="s">
        <v>50</v>
      </c>
      <c r="C7" s="15" t="s">
        <v>51</v>
      </c>
      <c r="D7" s="4">
        <v>0.75</v>
      </c>
    </row>
    <row r="8" spans="1:4" ht="15.75" customHeight="1" x14ac:dyDescent="0.25">
      <c r="A8" s="4">
        <v>6</v>
      </c>
      <c r="B8" s="4" t="s">
        <v>52</v>
      </c>
      <c r="C8" s="15" t="s">
        <v>74</v>
      </c>
      <c r="D8" s="4">
        <v>1.2</v>
      </c>
    </row>
    <row r="9" spans="1:4" ht="15.75" customHeight="1" x14ac:dyDescent="0.25">
      <c r="A9" s="4">
        <v>7</v>
      </c>
      <c r="B9" s="4" t="s">
        <v>54</v>
      </c>
      <c r="C9" s="15" t="s">
        <v>75</v>
      </c>
      <c r="D9" s="4">
        <v>1</v>
      </c>
    </row>
    <row r="10" spans="1:4" ht="15.75" customHeight="1" x14ac:dyDescent="0.25">
      <c r="A10" s="4">
        <v>8</v>
      </c>
      <c r="B10" s="4" t="s">
        <v>56</v>
      </c>
      <c r="C10" s="15" t="s">
        <v>76</v>
      </c>
      <c r="D10" s="4">
        <v>0</v>
      </c>
    </row>
    <row r="11" spans="1:4" ht="15.75" customHeight="1" x14ac:dyDescent="0.25">
      <c r="A11" s="4">
        <v>9</v>
      </c>
      <c r="B11" s="4" t="s">
        <v>58</v>
      </c>
      <c r="C11" s="15" t="s">
        <v>59</v>
      </c>
      <c r="D11" s="4">
        <v>0.75</v>
      </c>
    </row>
    <row r="12" spans="1:4" ht="15.75" customHeight="1" x14ac:dyDescent="0.25">
      <c r="A12" s="4">
        <v>10</v>
      </c>
      <c r="B12" s="4" t="s">
        <v>60</v>
      </c>
      <c r="C12" s="15" t="s">
        <v>61</v>
      </c>
      <c r="D12" s="4">
        <v>0.3</v>
      </c>
    </row>
    <row r="13" spans="1:4" ht="15.75" customHeight="1" x14ac:dyDescent="0.25">
      <c r="A13" s="4">
        <v>11</v>
      </c>
      <c r="B13" s="4" t="s">
        <v>62</v>
      </c>
      <c r="C13" s="15" t="s">
        <v>63</v>
      </c>
      <c r="D13" s="4">
        <v>0.3</v>
      </c>
    </row>
    <row r="14" spans="1:4" ht="15.75" customHeight="1" x14ac:dyDescent="0.25">
      <c r="A14" s="4">
        <v>12</v>
      </c>
      <c r="B14" s="4" t="s">
        <v>64</v>
      </c>
      <c r="C14" s="15" t="s">
        <v>65</v>
      </c>
      <c r="D14" s="4">
        <v>1.5</v>
      </c>
    </row>
    <row r="15" spans="1:4" ht="15.75" customHeight="1" x14ac:dyDescent="0.25">
      <c r="A15" s="4">
        <v>13</v>
      </c>
      <c r="B15" s="4" t="s">
        <v>66</v>
      </c>
      <c r="C15" s="16" t="s">
        <v>67</v>
      </c>
      <c r="D15" s="4">
        <v>1.35</v>
      </c>
    </row>
    <row r="16" spans="1:4" ht="15.75" customHeight="1" x14ac:dyDescent="0.25">
      <c r="A16" s="4">
        <v>14</v>
      </c>
      <c r="B16" s="17" t="s">
        <v>68</v>
      </c>
      <c r="C16" s="2" t="s">
        <v>69</v>
      </c>
      <c r="D16" s="18">
        <v>0.85</v>
      </c>
    </row>
  </sheetData>
  <autoFilter ref="A2:D16"/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625" defaultRowHeight="15.75" customHeight="1" x14ac:dyDescent="0.25"/>
  <cols>
    <col min="2" max="2" width="9.125" style="1" customWidth="1"/>
    <col min="3" max="3" width="16.375" style="1" customWidth="1"/>
    <col min="4" max="4" width="12.75" style="1" customWidth="1"/>
  </cols>
  <sheetData>
    <row r="1" spans="1:4" ht="15.75" customHeight="1" x14ac:dyDescent="0.25">
      <c r="A1" s="94" t="s">
        <v>77</v>
      </c>
      <c r="B1" s="94"/>
      <c r="C1" s="94"/>
      <c r="D1" s="94"/>
    </row>
    <row r="2" spans="1:4" ht="15.75" customHeight="1" x14ac:dyDescent="0.25">
      <c r="A2" s="20" t="s">
        <v>10</v>
      </c>
      <c r="B2" s="19" t="s">
        <v>11</v>
      </c>
      <c r="C2" s="19" t="s">
        <v>71</v>
      </c>
      <c r="D2" s="19" t="s">
        <v>78</v>
      </c>
    </row>
    <row r="3" spans="1:4" ht="15.75" customHeight="1" x14ac:dyDescent="0.25">
      <c r="A3" s="4">
        <v>1</v>
      </c>
      <c r="B3" s="4" t="s">
        <v>42</v>
      </c>
      <c r="C3" s="15" t="s">
        <v>79</v>
      </c>
      <c r="D3" s="4">
        <v>4.2</v>
      </c>
    </row>
    <row r="4" spans="1:4" ht="15.75" customHeight="1" x14ac:dyDescent="0.25">
      <c r="A4" s="4">
        <v>2</v>
      </c>
      <c r="B4" s="4" t="s">
        <v>44</v>
      </c>
      <c r="C4" s="15" t="s">
        <v>45</v>
      </c>
      <c r="D4" s="4">
        <v>5.8</v>
      </c>
    </row>
    <row r="5" spans="1:4" ht="15.75" customHeight="1" x14ac:dyDescent="0.25">
      <c r="A5" s="4">
        <v>3</v>
      </c>
      <c r="B5" s="4" t="s">
        <v>46</v>
      </c>
      <c r="C5" s="15" t="s">
        <v>47</v>
      </c>
      <c r="D5" s="4">
        <v>5.8</v>
      </c>
    </row>
    <row r="6" spans="1:4" ht="15.75" customHeight="1" x14ac:dyDescent="0.25">
      <c r="A6" s="4">
        <v>4</v>
      </c>
      <c r="B6" s="4" t="s">
        <v>48</v>
      </c>
      <c r="C6" s="15" t="s">
        <v>73</v>
      </c>
      <c r="D6" s="4">
        <v>4.5</v>
      </c>
    </row>
    <row r="7" spans="1:4" ht="15.75" customHeight="1" x14ac:dyDescent="0.25">
      <c r="A7" s="4">
        <v>5</v>
      </c>
      <c r="B7" s="4" t="s">
        <v>50</v>
      </c>
      <c r="C7" s="15" t="s">
        <v>51</v>
      </c>
      <c r="D7" s="4">
        <v>5.5</v>
      </c>
    </row>
    <row r="8" spans="1:4" ht="15.75" customHeight="1" x14ac:dyDescent="0.25">
      <c r="A8" s="4">
        <v>6</v>
      </c>
      <c r="B8" s="4" t="s">
        <v>52</v>
      </c>
      <c r="C8" s="15" t="s">
        <v>74</v>
      </c>
      <c r="D8" s="4">
        <v>7.5</v>
      </c>
    </row>
    <row r="9" spans="1:4" ht="15.75" customHeight="1" x14ac:dyDescent="0.25">
      <c r="A9" s="4">
        <v>7</v>
      </c>
      <c r="B9" s="4" t="s">
        <v>54</v>
      </c>
      <c r="C9" s="15" t="s">
        <v>75</v>
      </c>
      <c r="D9" s="4">
        <v>5.3</v>
      </c>
    </row>
    <row r="10" spans="1:4" ht="15.75" customHeight="1" x14ac:dyDescent="0.25">
      <c r="A10" s="4">
        <v>8</v>
      </c>
      <c r="B10" s="4" t="s">
        <v>56</v>
      </c>
      <c r="C10" s="15" t="s">
        <v>76</v>
      </c>
      <c r="D10" s="4">
        <v>6.8</v>
      </c>
    </row>
    <row r="11" spans="1:4" ht="15.75" customHeight="1" x14ac:dyDescent="0.25">
      <c r="A11" s="4">
        <v>9</v>
      </c>
      <c r="B11" s="4" t="s">
        <v>58</v>
      </c>
      <c r="C11" s="15" t="s">
        <v>59</v>
      </c>
      <c r="D11" s="4">
        <v>6.3</v>
      </c>
    </row>
    <row r="12" spans="1:4" ht="15.75" customHeight="1" x14ac:dyDescent="0.25">
      <c r="A12" s="4">
        <v>10</v>
      </c>
      <c r="B12" s="4" t="s">
        <v>60</v>
      </c>
      <c r="C12" s="15" t="s">
        <v>61</v>
      </c>
      <c r="D12" s="4">
        <v>8.3000000000000007</v>
      </c>
    </row>
    <row r="13" spans="1:4" ht="15.75" customHeight="1" x14ac:dyDescent="0.25">
      <c r="A13" s="4">
        <v>11</v>
      </c>
      <c r="B13" s="4" t="s">
        <v>62</v>
      </c>
      <c r="C13" s="15" t="s">
        <v>63</v>
      </c>
      <c r="D13" s="4">
        <v>-3</v>
      </c>
    </row>
    <row r="14" spans="1:4" ht="15.75" customHeight="1" x14ac:dyDescent="0.25">
      <c r="A14" s="4">
        <v>12</v>
      </c>
      <c r="B14" s="4" t="s">
        <v>64</v>
      </c>
      <c r="C14" s="15" t="s">
        <v>65</v>
      </c>
      <c r="D14" s="4">
        <v>7</v>
      </c>
    </row>
    <row r="15" spans="1:4" ht="15.75" customHeight="1" x14ac:dyDescent="0.25">
      <c r="A15" s="4">
        <v>13</v>
      </c>
      <c r="B15" s="4" t="s">
        <v>66</v>
      </c>
      <c r="C15" s="15" t="s">
        <v>67</v>
      </c>
      <c r="D15" s="4">
        <v>-3</v>
      </c>
    </row>
    <row r="16" spans="1:4" ht="15.75" customHeight="1" x14ac:dyDescent="0.25">
      <c r="A16" s="4">
        <v>14</v>
      </c>
      <c r="B16" s="4" t="s">
        <v>68</v>
      </c>
      <c r="C16" s="15" t="s">
        <v>69</v>
      </c>
      <c r="D16" s="4">
        <v>6.5</v>
      </c>
    </row>
  </sheetData>
  <autoFilter ref="A2:D16"/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6"/>
  <sheetViews>
    <sheetView zoomScaleNormal="100" workbookViewId="0">
      <pane ySplit="2" topLeftCell="A3" activePane="bottomLeft" state="frozen"/>
      <selection pane="bottomLeft" activeCell="C14" sqref="C14"/>
    </sheetView>
  </sheetViews>
  <sheetFormatPr defaultColWidth="8.625" defaultRowHeight="15.75" customHeight="1" x14ac:dyDescent="0.25"/>
  <cols>
    <col min="1" max="1" width="7" customWidth="1"/>
    <col min="2" max="2" width="12" customWidth="1"/>
    <col min="3" max="3" width="22" style="1" customWidth="1"/>
    <col min="5" max="5" width="46" style="1" customWidth="1"/>
    <col min="6" max="6" width="18" style="1" customWidth="1"/>
    <col min="8" max="8" width="24" customWidth="1"/>
    <col min="9" max="9" width="12" customWidth="1"/>
    <col min="11" max="11" width="16" customWidth="1"/>
    <col min="12" max="12" width="12" customWidth="1"/>
  </cols>
  <sheetData>
    <row r="1" spans="1:14" ht="24.75" customHeight="1" x14ac:dyDescent="0.25">
      <c r="A1" s="95" t="s">
        <v>80</v>
      </c>
      <c r="B1" s="95"/>
      <c r="C1" s="95"/>
      <c r="D1" s="40"/>
      <c r="E1" s="95" t="s">
        <v>81</v>
      </c>
      <c r="F1" s="95"/>
      <c r="G1" s="40"/>
      <c r="H1" s="95" t="s">
        <v>82</v>
      </c>
      <c r="I1" s="95"/>
      <c r="J1" s="40"/>
      <c r="K1" s="95" t="s">
        <v>83</v>
      </c>
      <c r="L1" s="96"/>
      <c r="M1" s="44"/>
      <c r="N1" s="27"/>
    </row>
    <row r="2" spans="1:14" ht="24.75" customHeight="1" x14ac:dyDescent="0.25">
      <c r="A2" s="21" t="s">
        <v>10</v>
      </c>
      <c r="B2" s="21" t="s">
        <v>11</v>
      </c>
      <c r="C2" s="21" t="s">
        <v>12</v>
      </c>
      <c r="D2" s="41"/>
      <c r="E2" s="21" t="s">
        <v>20</v>
      </c>
      <c r="F2" s="21" t="s">
        <v>84</v>
      </c>
      <c r="G2" s="41"/>
      <c r="H2" s="21" t="s">
        <v>19</v>
      </c>
      <c r="I2" s="21" t="s">
        <v>20</v>
      </c>
      <c r="J2" s="41"/>
      <c r="K2" s="21" t="s">
        <v>85</v>
      </c>
      <c r="L2" s="42" t="s">
        <v>86</v>
      </c>
      <c r="M2" s="44"/>
      <c r="N2" s="27"/>
    </row>
    <row r="3" spans="1:14" ht="26.25" customHeight="1" x14ac:dyDescent="0.25">
      <c r="A3" s="36">
        <v>1</v>
      </c>
      <c r="B3" s="36" t="s">
        <v>48</v>
      </c>
      <c r="C3" s="37" t="s">
        <v>73</v>
      </c>
      <c r="D3" s="41"/>
      <c r="E3" s="36" t="s">
        <v>87</v>
      </c>
      <c r="F3" s="36">
        <f>COUNTIF('Tổng hợp điểm'!$K$7:$K$20,E3)</f>
        <v>3</v>
      </c>
      <c r="G3" s="41"/>
      <c r="H3" s="36">
        <v>0</v>
      </c>
      <c r="I3" s="36" t="s">
        <v>87</v>
      </c>
      <c r="J3" s="41"/>
      <c r="K3" s="36">
        <v>0</v>
      </c>
      <c r="L3" s="43">
        <v>1</v>
      </c>
      <c r="M3" s="44"/>
      <c r="N3" s="27"/>
    </row>
    <row r="4" spans="1:14" ht="26.25" customHeight="1" x14ac:dyDescent="0.25">
      <c r="A4" s="36">
        <v>2</v>
      </c>
      <c r="B4" s="36" t="s">
        <v>56</v>
      </c>
      <c r="C4" s="37" t="s">
        <v>76</v>
      </c>
      <c r="D4" s="41"/>
      <c r="E4" s="36" t="s">
        <v>88</v>
      </c>
      <c r="F4" s="36">
        <f>COUNTIF('Tổng hợp điểm'!$K$7:$K$20,E4)</f>
        <v>0</v>
      </c>
      <c r="G4" s="41"/>
      <c r="H4" s="36">
        <v>4</v>
      </c>
      <c r="I4" s="36" t="s">
        <v>88</v>
      </c>
      <c r="J4" s="41"/>
      <c r="K4" s="36">
        <v>1</v>
      </c>
      <c r="L4" s="43">
        <v>0.5</v>
      </c>
      <c r="M4" s="44"/>
      <c r="N4" s="27"/>
    </row>
    <row r="5" spans="1:14" ht="26.25" customHeight="1" x14ac:dyDescent="0.25">
      <c r="A5" s="36">
        <v>3</v>
      </c>
      <c r="B5" s="36" t="s">
        <v>58</v>
      </c>
      <c r="C5" s="37" t="s">
        <v>59</v>
      </c>
      <c r="D5" s="41"/>
      <c r="E5" s="36" t="s">
        <v>89</v>
      </c>
      <c r="F5" s="36">
        <f>COUNTIF('Tổng hợp điểm'!$K$7:$K$20,E5)</f>
        <v>1</v>
      </c>
      <c r="G5" s="41"/>
      <c r="H5" s="36">
        <v>5</v>
      </c>
      <c r="I5" s="36" t="s">
        <v>89</v>
      </c>
      <c r="J5" s="41"/>
      <c r="K5" s="36">
        <v>2</v>
      </c>
      <c r="L5" s="43">
        <v>0.25</v>
      </c>
      <c r="M5" s="44"/>
      <c r="N5" s="27"/>
    </row>
    <row r="6" spans="1:14" ht="26.25" customHeight="1" x14ac:dyDescent="0.25">
      <c r="A6" s="36">
        <v>4</v>
      </c>
      <c r="B6" s="36" t="s">
        <v>54</v>
      </c>
      <c r="C6" s="37" t="s">
        <v>75</v>
      </c>
      <c r="D6" s="41"/>
      <c r="E6" s="36" t="s">
        <v>90</v>
      </c>
      <c r="F6" s="36">
        <f>COUNTIF('Tổng hợp điểm'!$K$7:$K$20,E6)</f>
        <v>5</v>
      </c>
      <c r="G6" s="41"/>
      <c r="H6" s="36">
        <v>5.5</v>
      </c>
      <c r="I6" s="36" t="s">
        <v>90</v>
      </c>
      <c r="J6" s="52"/>
      <c r="K6" s="46"/>
      <c r="L6" s="46"/>
      <c r="M6" s="53"/>
      <c r="N6" s="27"/>
    </row>
    <row r="7" spans="1:14" ht="26.25" customHeight="1" x14ac:dyDescent="0.25">
      <c r="A7" s="36">
        <v>5</v>
      </c>
      <c r="B7" s="36" t="s">
        <v>50</v>
      </c>
      <c r="C7" s="37" t="s">
        <v>51</v>
      </c>
      <c r="D7" s="41"/>
      <c r="E7" s="36" t="s">
        <v>91</v>
      </c>
      <c r="F7" s="36">
        <f>COUNTIF('Tổng hợp điểm'!$K$7:$K$20,E7)</f>
        <v>2</v>
      </c>
      <c r="G7" s="41"/>
      <c r="H7" s="36">
        <v>6.5</v>
      </c>
      <c r="I7" s="36" t="s">
        <v>91</v>
      </c>
      <c r="J7" s="52"/>
      <c r="K7" s="27"/>
      <c r="L7" s="27"/>
      <c r="M7" s="53"/>
      <c r="N7" s="27"/>
    </row>
    <row r="8" spans="1:14" ht="26.25" customHeight="1" x14ac:dyDescent="0.25">
      <c r="A8" s="36">
        <v>6</v>
      </c>
      <c r="B8" s="36" t="s">
        <v>44</v>
      </c>
      <c r="C8" s="37" t="s">
        <v>45</v>
      </c>
      <c r="D8" s="41"/>
      <c r="E8" s="36" t="s">
        <v>92</v>
      </c>
      <c r="F8" s="36">
        <f>COUNTIF('Tổng hợp điểm'!$K$7:$K$20,E8)</f>
        <v>2</v>
      </c>
      <c r="G8" s="41"/>
      <c r="H8" s="36">
        <v>7</v>
      </c>
      <c r="I8" s="36" t="s">
        <v>92</v>
      </c>
      <c r="J8" s="52"/>
      <c r="K8" s="27"/>
      <c r="L8" s="27"/>
      <c r="M8" s="53"/>
      <c r="N8" s="27"/>
    </row>
    <row r="9" spans="1:14" ht="26.25" customHeight="1" x14ac:dyDescent="0.25">
      <c r="A9" s="36">
        <v>7</v>
      </c>
      <c r="B9" s="36" t="s">
        <v>62</v>
      </c>
      <c r="C9" s="37" t="s">
        <v>63</v>
      </c>
      <c r="D9" s="41"/>
      <c r="E9" s="36" t="s">
        <v>93</v>
      </c>
      <c r="F9" s="36">
        <f>COUNTIF('Tổng hợp điểm'!$K$7:$K$20,E9)</f>
        <v>1</v>
      </c>
      <c r="G9" s="41"/>
      <c r="H9" s="36">
        <v>8</v>
      </c>
      <c r="I9" s="36" t="s">
        <v>93</v>
      </c>
      <c r="J9" s="52"/>
      <c r="K9" s="27"/>
      <c r="L9" s="27"/>
      <c r="M9" s="53"/>
      <c r="N9" s="27"/>
    </row>
    <row r="10" spans="1:14" ht="26.25" customHeight="1" x14ac:dyDescent="0.25">
      <c r="A10" s="36">
        <v>8</v>
      </c>
      <c r="B10" s="36" t="s">
        <v>68</v>
      </c>
      <c r="C10" s="37" t="s">
        <v>69</v>
      </c>
      <c r="D10" s="41"/>
      <c r="E10" s="36" t="s">
        <v>94</v>
      </c>
      <c r="F10" s="36">
        <f>COUNTIF('Tổng hợp điểm'!$K$7:$K$20,E10)</f>
        <v>0</v>
      </c>
      <c r="G10" s="41"/>
      <c r="H10" s="36">
        <v>9</v>
      </c>
      <c r="I10" s="36" t="s">
        <v>94</v>
      </c>
      <c r="J10" s="52"/>
      <c r="K10" s="27"/>
      <c r="L10" s="27"/>
      <c r="M10" s="53"/>
      <c r="N10" s="27"/>
    </row>
    <row r="11" spans="1:14" ht="26.25" customHeight="1" x14ac:dyDescent="0.25">
      <c r="A11" s="36">
        <v>9</v>
      </c>
      <c r="B11" s="36" t="s">
        <v>64</v>
      </c>
      <c r="C11" s="37" t="s">
        <v>65</v>
      </c>
      <c r="D11" s="41"/>
      <c r="E11" s="23"/>
      <c r="F11" s="23"/>
      <c r="G11" s="52"/>
      <c r="H11" s="46"/>
      <c r="I11" s="46"/>
      <c r="J11" s="35"/>
      <c r="K11" s="35"/>
      <c r="L11" s="35"/>
      <c r="M11" s="53"/>
      <c r="N11" s="27"/>
    </row>
    <row r="12" spans="1:14" ht="24.75" customHeight="1" x14ac:dyDescent="0.25">
      <c r="A12" s="36">
        <v>10</v>
      </c>
      <c r="B12" s="36" t="s">
        <v>46</v>
      </c>
      <c r="C12" s="37" t="s">
        <v>47</v>
      </c>
      <c r="D12" s="41"/>
      <c r="E12" s="95" t="s">
        <v>95</v>
      </c>
      <c r="F12" s="95"/>
      <c r="G12" s="52"/>
      <c r="H12" s="27"/>
      <c r="I12" s="27"/>
      <c r="J12" s="27"/>
      <c r="K12" s="27"/>
      <c r="L12" s="27"/>
      <c r="M12" s="53"/>
      <c r="N12" s="27"/>
    </row>
    <row r="13" spans="1:14" ht="51.75" customHeight="1" x14ac:dyDescent="0.25">
      <c r="A13" s="36">
        <v>11</v>
      </c>
      <c r="B13" s="36" t="s">
        <v>60</v>
      </c>
      <c r="C13" s="37" t="s">
        <v>61</v>
      </c>
      <c r="D13" s="41"/>
      <c r="E13" s="37" t="s">
        <v>96</v>
      </c>
      <c r="F13" s="36">
        <f>COUNTIF('Tổng hợp điểm'!$G$7:$G$20,0)+COUNTIF('Tổng hợp điểm'!$H$7:$H$20,-3)-COUNTIFS('Tổng hợp điểm'!$G$7:$G$20,0,'Tổng hợp điểm'!$H$7:$H$20,-3)</f>
        <v>3</v>
      </c>
      <c r="G13" s="52"/>
      <c r="H13" s="27"/>
      <c r="I13" s="27"/>
      <c r="J13" s="27"/>
      <c r="K13" s="27"/>
      <c r="L13" s="27"/>
      <c r="M13" s="53"/>
      <c r="N13" s="27"/>
    </row>
    <row r="14" spans="1:14" ht="51.75" customHeight="1" x14ac:dyDescent="0.25">
      <c r="A14" s="36">
        <v>12</v>
      </c>
      <c r="B14" s="36" t="s">
        <v>42</v>
      </c>
      <c r="C14" s="37" t="s">
        <v>43</v>
      </c>
      <c r="D14" s="41"/>
      <c r="E14" s="37" t="s">
        <v>97</v>
      </c>
      <c r="F14" s="36">
        <f>COUNTIFS('Tổng hợp điểm'!$J$7:$J$20,"&gt;=7",'Tổng hợp điểm'!$K$7:$K$20,"B+")+COUNTIFS('Tổng hợp điểm'!$J$7:$J$20,"&gt;=7",'Tổng hợp điểm'!$K$7:$K$20,"A")</f>
        <v>1</v>
      </c>
      <c r="G14" s="52"/>
      <c r="H14" s="27"/>
      <c r="I14" s="27"/>
      <c r="J14" s="27"/>
      <c r="K14" s="27"/>
      <c r="L14" s="27"/>
      <c r="M14" s="53"/>
      <c r="N14" s="27"/>
    </row>
    <row r="15" spans="1:14" ht="26.25" customHeight="1" x14ac:dyDescent="0.25">
      <c r="A15" s="36">
        <v>13</v>
      </c>
      <c r="B15" s="36" t="s">
        <v>52</v>
      </c>
      <c r="C15" s="37" t="s">
        <v>74</v>
      </c>
      <c r="D15" s="45"/>
      <c r="E15" s="46"/>
      <c r="F15" s="47"/>
      <c r="G15" s="48"/>
      <c r="H15" s="54"/>
      <c r="I15" s="55"/>
      <c r="J15" s="56"/>
      <c r="K15" s="56"/>
      <c r="L15" s="56"/>
      <c r="M15" s="57"/>
      <c r="N15" s="27"/>
    </row>
    <row r="16" spans="1:14" ht="26.25" customHeight="1" x14ac:dyDescent="0.25">
      <c r="A16" s="38">
        <v>14</v>
      </c>
      <c r="B16" s="38" t="s">
        <v>66</v>
      </c>
      <c r="C16" s="39" t="s">
        <v>67</v>
      </c>
      <c r="D16" s="45"/>
      <c r="E16" s="27"/>
      <c r="F16" s="49"/>
      <c r="G16" s="48"/>
      <c r="H16" s="51"/>
      <c r="I16" s="58"/>
      <c r="J16" s="59"/>
      <c r="K16" s="59"/>
      <c r="L16" s="59"/>
      <c r="M16" s="60"/>
      <c r="N16" s="27"/>
    </row>
    <row r="17" spans="1:14" ht="15.75" customHeight="1" x14ac:dyDescent="0.25">
      <c r="A17" s="35"/>
      <c r="B17" s="35"/>
      <c r="C17" s="35"/>
      <c r="D17" s="35"/>
      <c r="E17" s="27"/>
      <c r="F17" s="49"/>
      <c r="G17" s="48"/>
      <c r="H17" s="51"/>
      <c r="I17" s="58"/>
      <c r="J17" s="59"/>
      <c r="K17" s="59"/>
      <c r="L17" s="59"/>
      <c r="M17" s="60"/>
      <c r="N17" s="27"/>
    </row>
    <row r="18" spans="1:14" ht="15.75" customHeight="1" x14ac:dyDescent="0.25">
      <c r="A18" s="27"/>
      <c r="B18" s="27"/>
      <c r="C18" s="27"/>
      <c r="D18" s="27"/>
      <c r="E18" s="27"/>
      <c r="F18" s="49"/>
      <c r="G18" s="48"/>
      <c r="H18" s="51"/>
      <c r="I18" s="58"/>
      <c r="J18" s="59"/>
      <c r="K18" s="59"/>
      <c r="L18" s="59"/>
      <c r="M18" s="60"/>
      <c r="N18" s="27"/>
    </row>
    <row r="19" spans="1:14" ht="15.75" customHeight="1" x14ac:dyDescent="0.25">
      <c r="A19" s="27"/>
      <c r="B19" s="27"/>
      <c r="C19" s="27"/>
      <c r="D19" s="27"/>
      <c r="E19" s="27"/>
      <c r="F19" s="49"/>
      <c r="G19" s="48"/>
      <c r="H19" s="51"/>
      <c r="I19" s="58"/>
      <c r="J19" s="59"/>
      <c r="K19" s="59"/>
      <c r="L19" s="59"/>
      <c r="M19" s="60"/>
      <c r="N19" s="27"/>
    </row>
    <row r="20" spans="1:14" ht="15.75" customHeight="1" x14ac:dyDescent="0.25">
      <c r="A20" s="27"/>
      <c r="B20" s="27"/>
      <c r="C20" s="27"/>
      <c r="D20" s="27"/>
      <c r="E20" s="27"/>
      <c r="F20" s="49"/>
      <c r="G20" s="48"/>
      <c r="H20" s="51"/>
      <c r="I20" s="58"/>
      <c r="J20" s="59"/>
      <c r="K20" s="59"/>
      <c r="L20" s="59"/>
      <c r="M20" s="60"/>
      <c r="N20" s="27"/>
    </row>
    <row r="21" spans="1:14" ht="15.75" customHeight="1" x14ac:dyDescent="0.25">
      <c r="A21" s="27"/>
      <c r="B21" s="27"/>
      <c r="C21" s="27"/>
      <c r="D21" s="27"/>
      <c r="E21" s="27"/>
      <c r="F21" s="49"/>
      <c r="G21" s="48"/>
      <c r="H21" s="51"/>
      <c r="I21" s="58"/>
      <c r="J21" s="59"/>
      <c r="K21" s="59"/>
      <c r="L21" s="59"/>
      <c r="M21" s="60"/>
      <c r="N21" s="27"/>
    </row>
    <row r="22" spans="1:14" ht="15.75" customHeight="1" x14ac:dyDescent="0.25">
      <c r="A22" s="27"/>
      <c r="B22" s="27"/>
      <c r="C22" s="27"/>
      <c r="D22" s="27"/>
      <c r="E22" s="27"/>
      <c r="F22" s="49"/>
      <c r="G22" s="48"/>
      <c r="H22" s="51"/>
      <c r="I22" s="58"/>
      <c r="J22" s="59"/>
      <c r="K22" s="59"/>
      <c r="L22" s="59"/>
      <c r="M22" s="60"/>
      <c r="N22" s="27"/>
    </row>
    <row r="23" spans="1:14" ht="15.75" customHeight="1" x14ac:dyDescent="0.25">
      <c r="A23" s="27"/>
      <c r="B23" s="27"/>
      <c r="C23" s="27"/>
      <c r="D23" s="27"/>
      <c r="E23" s="27"/>
      <c r="F23" s="49"/>
      <c r="G23" s="48"/>
      <c r="H23" s="51"/>
      <c r="I23" s="58"/>
      <c r="J23" s="59"/>
      <c r="K23" s="59"/>
      <c r="L23" s="59"/>
      <c r="M23" s="60"/>
      <c r="N23" s="27"/>
    </row>
    <row r="24" spans="1:14" ht="15.75" customHeight="1" x14ac:dyDescent="0.25">
      <c r="A24" s="27"/>
      <c r="B24" s="27"/>
      <c r="C24" s="27"/>
      <c r="D24" s="27"/>
      <c r="E24" s="27"/>
      <c r="F24" s="49"/>
      <c r="G24" s="48"/>
      <c r="H24" s="51"/>
      <c r="I24" s="58"/>
      <c r="J24" s="59"/>
      <c r="K24" s="59"/>
      <c r="L24" s="59"/>
      <c r="M24" s="60"/>
      <c r="N24" s="27"/>
    </row>
    <row r="25" spans="1:14" ht="15.75" customHeight="1" x14ac:dyDescent="0.25">
      <c r="A25" s="27"/>
      <c r="B25" s="27"/>
      <c r="C25" s="27"/>
      <c r="D25" s="27"/>
      <c r="E25" s="27"/>
      <c r="F25" s="50"/>
      <c r="G25" s="48"/>
      <c r="H25" s="51"/>
      <c r="I25" s="58"/>
      <c r="J25" s="59"/>
      <c r="K25" s="59"/>
      <c r="L25" s="59"/>
      <c r="M25" s="60"/>
      <c r="N25" s="27"/>
    </row>
    <row r="26" spans="1:14" ht="15.75" customHeight="1" x14ac:dyDescent="0.25">
      <c r="I26" s="61"/>
      <c r="J26" s="62"/>
      <c r="K26" s="62"/>
      <c r="L26" s="62"/>
      <c r="M26" s="63"/>
    </row>
  </sheetData>
  <mergeCells count="5">
    <mergeCell ref="A1:C1"/>
    <mergeCell ref="E1:F1"/>
    <mergeCell ref="H1:I1"/>
    <mergeCell ref="K1:L1"/>
    <mergeCell ref="E12:F1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0" sqref="H20"/>
    </sheetView>
  </sheetViews>
  <sheetFormatPr defaultColWidth="8.625" defaultRowHeight="15.75" customHeight="1" x14ac:dyDescent="0.25"/>
  <cols>
    <col min="1" max="1" width="7" customWidth="1"/>
    <col min="2" max="2" width="12" customWidth="1"/>
    <col min="3" max="3" width="22" customWidth="1"/>
    <col min="4" max="11" width="13" customWidth="1"/>
  </cols>
  <sheetData>
    <row r="1" spans="1:13" ht="63" customHeight="1" x14ac:dyDescent="0.25">
      <c r="A1" s="5" t="s">
        <v>10</v>
      </c>
      <c r="B1" s="6" t="s">
        <v>11</v>
      </c>
      <c r="C1" s="6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3" ht="15.75" customHeight="1" x14ac:dyDescent="0.25">
      <c r="A2" s="7">
        <v>1</v>
      </c>
      <c r="B2" s="2" t="s">
        <v>21</v>
      </c>
      <c r="C2" s="2" t="s">
        <v>43</v>
      </c>
      <c r="D2" s="4">
        <v>0.45</v>
      </c>
      <c r="E2" s="22">
        <v>0.25</v>
      </c>
      <c r="F2" s="4">
        <v>0.3</v>
      </c>
      <c r="G2" s="4">
        <v>0.5</v>
      </c>
      <c r="H2" s="4">
        <v>4.2</v>
      </c>
      <c r="I2" s="2">
        <v>4</v>
      </c>
      <c r="J2" s="2">
        <v>5</v>
      </c>
      <c r="K2" s="11" t="s">
        <v>89</v>
      </c>
    </row>
    <row r="3" spans="1:13" ht="15.75" customHeight="1" x14ac:dyDescent="0.25">
      <c r="A3" s="7">
        <v>2</v>
      </c>
      <c r="B3" s="2" t="s">
        <v>22</v>
      </c>
      <c r="C3" s="2" t="s">
        <v>45</v>
      </c>
      <c r="D3" s="4">
        <v>0.5</v>
      </c>
      <c r="E3" s="22">
        <v>0.35</v>
      </c>
      <c r="F3" s="4">
        <v>0.4</v>
      </c>
      <c r="G3" s="4">
        <v>1</v>
      </c>
      <c r="H3" s="4">
        <v>5.8</v>
      </c>
      <c r="I3" s="2">
        <v>5.7</v>
      </c>
      <c r="J3" s="2">
        <v>6.2</v>
      </c>
      <c r="K3" s="11" t="s">
        <v>90</v>
      </c>
    </row>
    <row r="4" spans="1:13" ht="15.75" customHeight="1" x14ac:dyDescent="0.25">
      <c r="A4" s="7">
        <v>3</v>
      </c>
      <c r="B4" s="2" t="s">
        <v>23</v>
      </c>
      <c r="C4" s="2" t="s">
        <v>47</v>
      </c>
      <c r="D4" s="4">
        <v>0.25</v>
      </c>
      <c r="E4" s="22">
        <v>0.25</v>
      </c>
      <c r="F4" s="4">
        <v>0.3</v>
      </c>
      <c r="G4" s="4">
        <v>0.5</v>
      </c>
      <c r="H4" s="4">
        <v>5.8</v>
      </c>
      <c r="I4" s="2">
        <v>4.8</v>
      </c>
      <c r="J4" s="2">
        <v>5.8</v>
      </c>
      <c r="K4" s="11" t="s">
        <v>90</v>
      </c>
    </row>
    <row r="5" spans="1:13" ht="15.75" customHeight="1" x14ac:dyDescent="0.25">
      <c r="A5" s="7">
        <v>4</v>
      </c>
      <c r="B5" s="2" t="s">
        <v>24</v>
      </c>
      <c r="C5" s="2" t="s">
        <v>73</v>
      </c>
      <c r="D5" s="4">
        <v>0.4</v>
      </c>
      <c r="E5" s="22">
        <v>0.25</v>
      </c>
      <c r="F5" s="4">
        <v>0.35</v>
      </c>
      <c r="G5" s="4">
        <v>1</v>
      </c>
      <c r="H5" s="4">
        <v>4.5</v>
      </c>
      <c r="I5" s="2">
        <v>4.7</v>
      </c>
      <c r="J5" s="2">
        <v>5.7</v>
      </c>
      <c r="K5" s="11" t="s">
        <v>90</v>
      </c>
    </row>
    <row r="6" spans="1:13" ht="15.75" customHeight="1" x14ac:dyDescent="0.25">
      <c r="A6" s="7">
        <v>5</v>
      </c>
      <c r="B6" s="2" t="s">
        <v>25</v>
      </c>
      <c r="C6" s="2" t="s">
        <v>51</v>
      </c>
      <c r="D6" s="4">
        <v>0.45</v>
      </c>
      <c r="E6" s="22">
        <v>0.4</v>
      </c>
      <c r="F6" s="4">
        <v>0.35</v>
      </c>
      <c r="G6" s="4">
        <v>0.75</v>
      </c>
      <c r="H6" s="4">
        <v>5.5</v>
      </c>
      <c r="I6" s="2">
        <v>5.3</v>
      </c>
      <c r="J6" s="2">
        <v>5.6</v>
      </c>
      <c r="K6" s="11" t="s">
        <v>90</v>
      </c>
    </row>
    <row r="7" spans="1:13" ht="15.75" customHeight="1" x14ac:dyDescent="0.25">
      <c r="A7" s="7">
        <v>7</v>
      </c>
      <c r="B7" s="2" t="s">
        <v>27</v>
      </c>
      <c r="C7" s="2" t="s">
        <v>75</v>
      </c>
      <c r="D7" s="4">
        <v>0.4</v>
      </c>
      <c r="E7" s="22">
        <v>0.4</v>
      </c>
      <c r="F7" s="4">
        <v>0.4</v>
      </c>
      <c r="G7" s="4">
        <v>1</v>
      </c>
      <c r="H7" s="4">
        <v>5.3</v>
      </c>
      <c r="I7" s="2">
        <v>5.4</v>
      </c>
      <c r="J7" s="2">
        <v>6.4</v>
      </c>
      <c r="K7" s="11" t="s">
        <v>90</v>
      </c>
    </row>
    <row r="8" spans="1:13" ht="15.75" customHeight="1" x14ac:dyDescent="0.25">
      <c r="A8" s="7">
        <v>8</v>
      </c>
      <c r="B8" s="2" t="s">
        <v>28</v>
      </c>
      <c r="C8" s="2" t="s">
        <v>76</v>
      </c>
      <c r="D8" s="4">
        <v>0.45</v>
      </c>
      <c r="E8" s="22">
        <v>0.4</v>
      </c>
      <c r="F8" s="4">
        <v>0.45</v>
      </c>
      <c r="G8" s="4">
        <v>0</v>
      </c>
      <c r="H8" s="4">
        <v>6.8</v>
      </c>
      <c r="I8" s="2">
        <v>5.4</v>
      </c>
      <c r="J8" s="2">
        <v>0</v>
      </c>
      <c r="K8" s="11" t="s">
        <v>87</v>
      </c>
    </row>
    <row r="9" spans="1:13" ht="15.75" customHeight="1" x14ac:dyDescent="0.25">
      <c r="A9" s="7">
        <v>9</v>
      </c>
      <c r="B9" s="2" t="s">
        <v>29</v>
      </c>
      <c r="C9" s="2" t="s">
        <v>59</v>
      </c>
      <c r="D9" s="4">
        <v>0.45</v>
      </c>
      <c r="E9" s="22">
        <v>0.4</v>
      </c>
      <c r="F9" s="4">
        <v>0.4</v>
      </c>
      <c r="G9" s="4">
        <v>0.75</v>
      </c>
      <c r="H9" s="4">
        <v>6.3</v>
      </c>
      <c r="I9" s="2">
        <v>5.8</v>
      </c>
      <c r="J9" s="2">
        <v>6.8</v>
      </c>
      <c r="K9" s="11" t="s">
        <v>91</v>
      </c>
    </row>
    <row r="10" spans="1:13" ht="15.75" customHeight="1" x14ac:dyDescent="0.25">
      <c r="A10" s="7">
        <v>11</v>
      </c>
      <c r="B10" s="2" t="s">
        <v>31</v>
      </c>
      <c r="C10" s="2" t="s">
        <v>63</v>
      </c>
      <c r="D10" s="4">
        <v>0.4</v>
      </c>
      <c r="E10" s="22">
        <v>0.45</v>
      </c>
      <c r="F10" s="4">
        <v>0.4</v>
      </c>
      <c r="G10" s="4">
        <v>0.3</v>
      </c>
      <c r="H10" s="4">
        <v>-3</v>
      </c>
      <c r="I10" s="2">
        <v>0</v>
      </c>
      <c r="J10" s="2">
        <v>0</v>
      </c>
      <c r="K10" s="11" t="s">
        <v>87</v>
      </c>
    </row>
    <row r="11" spans="1:13" ht="15.75" customHeight="1" x14ac:dyDescent="0.25">
      <c r="A11" s="7">
        <v>13</v>
      </c>
      <c r="B11" s="2" t="s">
        <v>33</v>
      </c>
      <c r="C11" s="2" t="s">
        <v>67</v>
      </c>
      <c r="D11" s="4">
        <v>0.4</v>
      </c>
      <c r="E11" s="22">
        <v>0.4</v>
      </c>
      <c r="F11" s="4">
        <v>0.35</v>
      </c>
      <c r="G11" s="4">
        <v>1.35</v>
      </c>
      <c r="H11" s="4">
        <v>-3</v>
      </c>
      <c r="I11" s="2">
        <v>0</v>
      </c>
      <c r="J11" s="2">
        <v>0</v>
      </c>
      <c r="K11" s="11" t="s">
        <v>87</v>
      </c>
    </row>
    <row r="12" spans="1:13" ht="15.75" customHeight="1" x14ac:dyDescent="0.25">
      <c r="A12" s="7">
        <v>14</v>
      </c>
      <c r="B12" s="2" t="s">
        <v>34</v>
      </c>
      <c r="C12" s="2" t="s">
        <v>69</v>
      </c>
      <c r="D12" s="4">
        <v>0.35</v>
      </c>
      <c r="E12" s="22">
        <v>0.4</v>
      </c>
      <c r="F12" s="4">
        <v>0</v>
      </c>
      <c r="G12" s="4">
        <v>0.85</v>
      </c>
      <c r="H12" s="4">
        <v>6.5</v>
      </c>
      <c r="I12" s="2">
        <v>5.5</v>
      </c>
      <c r="J12" s="2">
        <v>6.5</v>
      </c>
      <c r="K12" s="11" t="s">
        <v>91</v>
      </c>
    </row>
    <row r="13" spans="1:13" x14ac:dyDescent="0.25">
      <c r="A13" s="34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25"/>
      <c r="M13" s="24"/>
    </row>
    <row r="14" spans="1:13" x14ac:dyDescent="0.25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8"/>
      <c r="M14" s="24"/>
    </row>
    <row r="15" spans="1:13" x14ac:dyDescent="0.25">
      <c r="A15" s="26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8"/>
      <c r="M15" s="24"/>
    </row>
    <row r="16" spans="1:13" x14ac:dyDescent="0.25">
      <c r="A16" s="26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8"/>
      <c r="M16" s="24"/>
    </row>
    <row r="17" spans="1:13" x14ac:dyDescent="0.25">
      <c r="A17" s="26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8"/>
      <c r="M17" s="24"/>
    </row>
    <row r="18" spans="1:13" x14ac:dyDescent="0.25">
      <c r="A18" s="26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24"/>
    </row>
    <row r="19" spans="1:13" x14ac:dyDescent="0.25">
      <c r="A19" s="26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8"/>
      <c r="M19" s="24"/>
    </row>
    <row r="20" spans="1:13" x14ac:dyDescent="0.25">
      <c r="A20" s="26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8"/>
      <c r="M20" s="24"/>
    </row>
    <row r="21" spans="1:13" x14ac:dyDescent="0.25">
      <c r="A21" s="26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8"/>
      <c r="M21" s="24"/>
    </row>
    <row r="22" spans="1:13" x14ac:dyDescent="0.25">
      <c r="A22" s="26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8"/>
      <c r="M22" s="24"/>
    </row>
    <row r="23" spans="1:13" x14ac:dyDescent="0.25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8"/>
      <c r="M23" s="24"/>
    </row>
    <row r="24" spans="1:13" x14ac:dyDescent="0.25">
      <c r="A24" s="26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8"/>
      <c r="M24" s="24"/>
    </row>
    <row r="25" spans="1:13" x14ac:dyDescent="0.25">
      <c r="A25" s="26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8"/>
      <c r="M25" s="24"/>
    </row>
    <row r="26" spans="1:13" x14ac:dyDescent="0.25">
      <c r="A26" s="26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8"/>
      <c r="M26" s="24"/>
    </row>
    <row r="27" spans="1:13" x14ac:dyDescent="0.25">
      <c r="A27" s="26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8"/>
      <c r="M27" s="24"/>
    </row>
    <row r="28" spans="1:13" x14ac:dyDescent="0.25">
      <c r="A28" s="26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8"/>
      <c r="M28" s="24"/>
    </row>
    <row r="29" spans="1:13" x14ac:dyDescent="0.25">
      <c r="A29" s="26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8"/>
      <c r="M29" s="24"/>
    </row>
    <row r="30" spans="1:13" x14ac:dyDescent="0.25">
      <c r="A30" s="26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8"/>
      <c r="M30" s="24"/>
    </row>
    <row r="31" spans="1:13" x14ac:dyDescent="0.25">
      <c r="A31" s="26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8"/>
      <c r="M31" s="24"/>
    </row>
    <row r="32" spans="1:13" x14ac:dyDescent="0.25">
      <c r="A32" s="26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8"/>
      <c r="M32" s="24"/>
    </row>
    <row r="33" spans="1:13" x14ac:dyDescent="0.25">
      <c r="A33" s="26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8"/>
      <c r="M33" s="24"/>
    </row>
    <row r="34" spans="1:13" x14ac:dyDescent="0.25">
      <c r="A34" s="26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8"/>
      <c r="M34" s="24"/>
    </row>
    <row r="35" spans="1:13" x14ac:dyDescent="0.25">
      <c r="A35" s="26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8"/>
      <c r="M35" s="24"/>
    </row>
    <row r="36" spans="1:13" x14ac:dyDescent="0.25">
      <c r="A36" s="26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8"/>
      <c r="M36" s="24"/>
    </row>
    <row r="37" spans="1:13" x14ac:dyDescent="0.25">
      <c r="A37" s="26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4"/>
    </row>
    <row r="38" spans="1:13" x14ac:dyDescent="0.25">
      <c r="A38" s="26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8"/>
      <c r="M38" s="24"/>
    </row>
    <row r="39" spans="1:13" x14ac:dyDescent="0.25">
      <c r="A39" s="26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8"/>
      <c r="M39" s="24"/>
    </row>
    <row r="40" spans="1:13" x14ac:dyDescent="0.25">
      <c r="A40" s="26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8"/>
      <c r="M40" s="24"/>
    </row>
    <row r="41" spans="1:13" ht="15.75" customHeight="1" x14ac:dyDescent="0.25">
      <c r="A41" s="29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28"/>
      <c r="M41" s="24"/>
    </row>
    <row r="42" spans="1:13" ht="15.75" customHeight="1" x14ac:dyDescent="0.25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28"/>
      <c r="M42" s="24"/>
    </row>
    <row r="43" spans="1:13" ht="15.75" customHeight="1" x14ac:dyDescent="0.25">
      <c r="A43" s="29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28"/>
      <c r="M43" s="24"/>
    </row>
    <row r="44" spans="1:13" ht="15.75" customHeight="1" x14ac:dyDescent="0.25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3"/>
      <c r="M44" s="24"/>
    </row>
    <row r="45" spans="1:13" ht="15.75" customHeight="1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</row>
    <row r="46" spans="1:13" ht="15.75" customHeight="1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</row>
    <row r="47" spans="1:13" ht="15.75" customHeight="1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</row>
    <row r="48" spans="1:13" ht="15.75" customHeight="1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</row>
    <row r="49" spans="1:13" ht="15.75" customHeight="1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</row>
    <row r="50" spans="1:13" ht="15.75" customHeight="1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</row>
    <row r="51" spans="1:13" ht="15.75" customHeight="1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52" spans="1:13" ht="15.75" customHeight="1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</row>
    <row r="53" spans="1:13" ht="15.75" customHeight="1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</row>
    <row r="54" spans="1:13" ht="15.75" customHeight="1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</row>
    <row r="55" spans="1:13" ht="15.75" customHeight="1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</row>
    <row r="56" spans="1:13" ht="15.75" customHeight="1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</row>
    <row r="57" spans="1:13" ht="15.75" customHeight="1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</row>
    <row r="58" spans="1:13" ht="15.75" customHeight="1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</row>
    <row r="59" spans="1:13" ht="15.75" customHeight="1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</row>
    <row r="60" spans="1:13" ht="15.75" customHeight="1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</row>
    <row r="61" spans="1:13" ht="15.75" customHeight="1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</row>
    <row r="62" spans="1:13" ht="15.75" customHeight="1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</row>
    <row r="63" spans="1:13" ht="15.75" customHeight="1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</row>
    <row r="64" spans="1:13" ht="15.75" customHeight="1" x14ac:dyDescent="0.25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:13" ht="15.75" customHeight="1" x14ac:dyDescent="0.2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3" ht="15.75" customHeight="1" x14ac:dyDescent="0.2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</row>
    <row r="67" spans="1:13" ht="15.75" customHeight="1" x14ac:dyDescent="0.25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</row>
    <row r="68" spans="1:13" ht="15.75" customHeight="1" x14ac:dyDescent="0.25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</row>
    <row r="69" spans="1:13" ht="15.75" customHeight="1" x14ac:dyDescent="0.2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</row>
    <row r="70" spans="1:13" ht="15.75" customHeight="1" x14ac:dyDescent="0.25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</row>
    <row r="71" spans="1:13" ht="15.75" customHeight="1" x14ac:dyDescent="0.25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</row>
    <row r="72" spans="1:13" ht="15.75" customHeight="1" x14ac:dyDescent="0.25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</row>
    <row r="73" spans="1:13" ht="15.75" customHeight="1" x14ac:dyDescent="0.25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</row>
    <row r="74" spans="1:13" ht="15.75" customHeight="1" x14ac:dyDescent="0.25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</row>
    <row r="75" spans="1:13" ht="15.75" customHeight="1" x14ac:dyDescent="0.25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</row>
    <row r="76" spans="1:13" ht="15.75" customHeight="1" x14ac:dyDescent="0.25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</row>
    <row r="77" spans="1:13" ht="15.75" customHeight="1" x14ac:dyDescent="0.25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</row>
    <row r="78" spans="1:13" ht="15.75" customHeight="1" x14ac:dyDescent="0.25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</row>
    <row r="79" spans="1:13" ht="15.75" customHeight="1" x14ac:dyDescent="0.25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</row>
    <row r="80" spans="1:13" ht="15.75" customHeight="1" x14ac:dyDescent="0.25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</row>
    <row r="81" spans="1:13" ht="15.75" customHeight="1" x14ac:dyDescent="0.25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</row>
    <row r="82" spans="1:13" ht="15.75" customHeight="1" x14ac:dyDescent="0.25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</row>
    <row r="83" spans="1:13" ht="15.75" customHeight="1" x14ac:dyDescent="0.25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</row>
    <row r="84" spans="1:13" ht="15.75" customHeight="1" x14ac:dyDescent="0.25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</row>
    <row r="85" spans="1:13" ht="15.75" customHeight="1" x14ac:dyDescent="0.2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</row>
    <row r="86" spans="1:13" ht="15.75" customHeight="1" x14ac:dyDescent="0.25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</row>
    <row r="87" spans="1:13" ht="15.75" customHeight="1" x14ac:dyDescent="0.25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</row>
    <row r="88" spans="1:13" ht="15.75" customHeight="1" x14ac:dyDescent="0.25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</row>
    <row r="89" spans="1:13" ht="15.75" customHeight="1" x14ac:dyDescent="0.25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</row>
    <row r="90" spans="1:13" ht="15.75" customHeight="1" x14ac:dyDescent="0.25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</row>
    <row r="91" spans="1:13" ht="15.75" customHeight="1" x14ac:dyDescent="0.25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</row>
    <row r="92" spans="1:13" ht="15.75" customHeight="1" x14ac:dyDescent="0.25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</row>
    <row r="93" spans="1:13" ht="15.75" customHeight="1" x14ac:dyDescent="0.25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</row>
    <row r="94" spans="1:13" ht="15.75" customHeight="1" x14ac:dyDescent="0.25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</row>
    <row r="95" spans="1:13" ht="15.75" customHeight="1" x14ac:dyDescent="0.2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</row>
    <row r="96" spans="1:13" ht="15.75" customHeight="1" x14ac:dyDescent="0.25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</row>
    <row r="97" spans="1:13" ht="15.75" customHeight="1" x14ac:dyDescent="0.25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</row>
    <row r="98" spans="1:13" ht="15.75" customHeight="1" x14ac:dyDescent="0.25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</row>
    <row r="99" spans="1:13" ht="15.75" customHeight="1" x14ac:dyDescent="0.25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</row>
    <row r="100" spans="1:13" ht="15.75" customHeight="1" x14ac:dyDescent="0.25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</row>
    <row r="101" spans="1:13" ht="15.75" customHeight="1" x14ac:dyDescent="0.25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</row>
    <row r="102" spans="1:13" ht="15.75" customHeight="1" x14ac:dyDescent="0.25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</row>
    <row r="103" spans="1:13" ht="15.75" customHeight="1" x14ac:dyDescent="0.25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</row>
    <row r="104" spans="1:13" ht="15.75" customHeight="1" x14ac:dyDescent="0.25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</row>
    <row r="105" spans="1:13" ht="15.75" customHeight="1" x14ac:dyDescent="0.2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 spans="1:13" ht="15.75" customHeight="1" x14ac:dyDescent="0.25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</row>
    <row r="107" spans="1:13" ht="15.75" customHeight="1" x14ac:dyDescent="0.25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</row>
    <row r="108" spans="1:13" ht="15.75" customHeight="1" x14ac:dyDescent="0.25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</row>
    <row r="109" spans="1:13" ht="15.75" customHeight="1" x14ac:dyDescent="0.25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</row>
    <row r="110" spans="1:13" ht="15.75" customHeight="1" x14ac:dyDescent="0.25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</row>
    <row r="111" spans="1:13" ht="15.75" customHeight="1" x14ac:dyDescent="0.25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</row>
    <row r="112" spans="1:13" ht="15.75" customHeight="1" x14ac:dyDescent="0.25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</row>
    <row r="113" spans="1:13" ht="15.75" customHeight="1" x14ac:dyDescent="0.25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</row>
    <row r="114" spans="1:13" ht="15.75" customHeight="1" x14ac:dyDescent="0.25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</row>
    <row r="115" spans="1:13" ht="15.75" customHeight="1" x14ac:dyDescent="0.2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</row>
    <row r="116" spans="1:13" ht="15.75" customHeight="1" x14ac:dyDescent="0.25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</row>
    <row r="117" spans="1:13" ht="15.75" customHeight="1" x14ac:dyDescent="0.25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</row>
    <row r="118" spans="1:13" ht="15.75" customHeight="1" x14ac:dyDescent="0.25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</row>
    <row r="119" spans="1:13" ht="15.75" customHeight="1" x14ac:dyDescent="0.25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</row>
    <row r="120" spans="1:13" ht="15.75" customHeight="1" x14ac:dyDescent="0.25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</row>
    <row r="121" spans="1:13" ht="15.75" customHeight="1" x14ac:dyDescent="0.25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</row>
    <row r="122" spans="1:13" ht="15.75" customHeight="1" x14ac:dyDescent="0.25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</row>
    <row r="123" spans="1:13" ht="15.75" customHeight="1" x14ac:dyDescent="0.25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</row>
    <row r="124" spans="1:13" ht="15.75" customHeight="1" x14ac:dyDescent="0.25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</row>
    <row r="125" spans="1:13" ht="15.75" customHeight="1" x14ac:dyDescent="0.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</row>
    <row r="126" spans="1:13" ht="15.75" customHeight="1" x14ac:dyDescent="0.25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</row>
    <row r="127" spans="1:13" ht="15.75" customHeight="1" x14ac:dyDescent="0.25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</row>
    <row r="128" spans="1:13" ht="15.75" customHeight="1" x14ac:dyDescent="0.25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</row>
    <row r="129" spans="1:13" ht="15.75" customHeight="1" x14ac:dyDescent="0.25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</row>
    <row r="130" spans="1:13" ht="15.75" customHeight="1" x14ac:dyDescent="0.25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</row>
    <row r="131" spans="1:13" ht="15.75" customHeight="1" x14ac:dyDescent="0.25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</row>
    <row r="132" spans="1:13" ht="15.75" customHeight="1" x14ac:dyDescent="0.25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</row>
    <row r="133" spans="1:13" ht="15.75" customHeight="1" x14ac:dyDescent="0.25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</row>
    <row r="134" spans="1:13" ht="15.75" customHeight="1" x14ac:dyDescent="0.25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</row>
    <row r="135" spans="1:13" ht="15.75" customHeight="1" x14ac:dyDescent="0.2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</row>
    <row r="136" spans="1:13" ht="15.75" customHeight="1" x14ac:dyDescent="0.25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</row>
    <row r="137" spans="1:13" ht="15.75" customHeight="1" x14ac:dyDescent="0.25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</row>
    <row r="138" spans="1:13" ht="15.75" customHeight="1" x14ac:dyDescent="0.25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</row>
    <row r="139" spans="1:13" ht="15.75" customHeight="1" x14ac:dyDescent="0.25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</row>
    <row r="140" spans="1:13" ht="15.75" customHeight="1" x14ac:dyDescent="0.25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</row>
    <row r="141" spans="1:13" ht="15.75" customHeight="1" x14ac:dyDescent="0.25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</row>
    <row r="142" spans="1:13" ht="15.75" customHeight="1" x14ac:dyDescent="0.25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</row>
    <row r="143" spans="1:13" ht="15.75" customHeight="1" x14ac:dyDescent="0.25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</row>
    <row r="144" spans="1:13" ht="15.75" customHeight="1" x14ac:dyDescent="0.25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</row>
    <row r="145" spans="1:13" ht="15.75" customHeight="1" x14ac:dyDescent="0.2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</row>
    <row r="146" spans="1:13" ht="15.75" customHeight="1" x14ac:dyDescent="0.25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</row>
    <row r="147" spans="1:13" ht="15.75" customHeight="1" x14ac:dyDescent="0.25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</row>
    <row r="148" spans="1:13" ht="15.75" customHeight="1" x14ac:dyDescent="0.25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</row>
    <row r="149" spans="1:13" ht="15.75" customHeight="1" x14ac:dyDescent="0.25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</row>
    <row r="150" spans="1:13" ht="15.75" customHeight="1" x14ac:dyDescent="0.25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</row>
    <row r="151" spans="1:13" ht="15.75" customHeight="1" x14ac:dyDescent="0.25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</row>
    <row r="152" spans="1:13" ht="15.75" customHeight="1" x14ac:dyDescent="0.25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</row>
    <row r="153" spans="1:13" ht="15.75" customHeight="1" x14ac:dyDescent="0.25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</row>
    <row r="154" spans="1:13" ht="15.75" customHeight="1" x14ac:dyDescent="0.25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</row>
    <row r="155" spans="1:13" ht="15.75" customHeight="1" x14ac:dyDescent="0.2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</row>
    <row r="156" spans="1:13" ht="15.75" customHeight="1" x14ac:dyDescent="0.25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</row>
    <row r="157" spans="1:13" ht="15.75" customHeight="1" x14ac:dyDescent="0.25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</row>
    <row r="158" spans="1:13" ht="15.75" customHeight="1" x14ac:dyDescent="0.25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</row>
    <row r="159" spans="1:13" ht="15.75" customHeight="1" x14ac:dyDescent="0.25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</row>
    <row r="160" spans="1:13" ht="15.75" customHeight="1" x14ac:dyDescent="0.25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</row>
    <row r="161" spans="1:13" ht="15.75" customHeight="1" x14ac:dyDescent="0.25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</row>
    <row r="162" spans="1:13" ht="15.75" customHeight="1" x14ac:dyDescent="0.25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</row>
    <row r="163" spans="1:13" ht="15.75" customHeight="1" x14ac:dyDescent="0.25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</row>
  </sheetData>
  <autoFilter ref="A1:K12"/>
  <pageMargins left="0.7" right="0.7" top="0.75" bottom="0.75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77" sqref="E377:F377"/>
    </sheetView>
  </sheetViews>
  <sheetFormatPr defaultColWidth="8.625" defaultRowHeight="15.75" customHeight="1" x14ac:dyDescent="0.25"/>
  <cols>
    <col min="1" max="1" width="7" customWidth="1"/>
    <col min="2" max="2" width="12" customWidth="1"/>
    <col min="3" max="3" width="22" customWidth="1"/>
    <col min="4" max="11" width="13" customWidth="1"/>
  </cols>
  <sheetData>
    <row r="1" spans="1:11" ht="63" customHeight="1" x14ac:dyDescent="0.25">
      <c r="A1" s="5" t="s">
        <v>10</v>
      </c>
      <c r="B1" s="6" t="s">
        <v>11</v>
      </c>
      <c r="C1" s="6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1" ht="15.75" customHeight="1" x14ac:dyDescent="0.25">
      <c r="A2" s="7">
        <v>6</v>
      </c>
      <c r="B2" s="2" t="s">
        <v>26</v>
      </c>
      <c r="C2" s="2" t="s">
        <v>74</v>
      </c>
      <c r="D2" s="4">
        <v>0.4</v>
      </c>
      <c r="E2" s="22">
        <v>0.45</v>
      </c>
      <c r="F2" s="4">
        <v>0.5</v>
      </c>
      <c r="G2" s="4">
        <v>1.2</v>
      </c>
      <c r="H2" s="4">
        <v>7.5</v>
      </c>
      <c r="I2" s="2">
        <v>7.1</v>
      </c>
      <c r="J2" s="2">
        <v>8.1</v>
      </c>
      <c r="K2" s="11" t="s">
        <v>93</v>
      </c>
    </row>
    <row r="3" spans="1:11" ht="15.75" customHeight="1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1" ht="15.75" customHeight="1" x14ac:dyDescent="0.25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</row>
    <row r="5" spans="1:1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</row>
    <row r="6" spans="1:11" ht="63" customHeight="1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spans="1:11" ht="15.75" customHeight="1" x14ac:dyDescent="0.25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</row>
    <row r="8" spans="1:11" x14ac:dyDescent="0.25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spans="1:1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x14ac:dyDescent="0.2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1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</row>
    <row r="12" spans="1:11" x14ac:dyDescent="0.2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spans="1:11" x14ac:dyDescent="0.25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</row>
    <row r="14" spans="1:11" x14ac:dyDescent="0.25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</row>
    <row r="15" spans="1:11" x14ac:dyDescent="0.2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</row>
    <row r="16" spans="1:11" x14ac:dyDescent="0.25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</row>
    <row r="18" spans="1:11" x14ac:dyDescent="0.2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</row>
    <row r="19" spans="1:11" x14ac:dyDescent="0.2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11" x14ac:dyDescent="0.2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11" x14ac:dyDescent="0.2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</row>
    <row r="22" spans="1:11" x14ac:dyDescent="0.2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</row>
    <row r="23" spans="1:11" x14ac:dyDescent="0.2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</row>
    <row r="24" spans="1:11" x14ac:dyDescent="0.2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 x14ac:dyDescent="0.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6" spans="1:11" x14ac:dyDescent="0.2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11" x14ac:dyDescent="0.2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 x14ac:dyDescent="0.2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 x14ac:dyDescent="0.2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 x14ac:dyDescent="0.2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x14ac:dyDescent="0.2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spans="1:11" x14ac:dyDescent="0.2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</row>
    <row r="37" spans="1:11" x14ac:dyDescent="0.2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</row>
    <row r="38" spans="1:11" x14ac:dyDescent="0.2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</row>
    <row r="39" spans="1:11" x14ac:dyDescent="0.2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1" x14ac:dyDescent="0.2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</row>
  </sheetData>
  <autoFilter ref="A1:K2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hợp điểm</vt:lpstr>
      <vt:lpstr>Điểm thực hành các buổi</vt:lpstr>
      <vt:lpstr>Điểm bài tập lớn</vt:lpstr>
      <vt:lpstr>Điểm lý thuyết</vt:lpstr>
      <vt:lpstr>Các bảng tham chiếu &amp; Thống kê</vt:lpstr>
      <vt:lpstr>Sinh viên điểm &lt; 7</vt:lpstr>
      <vt:lpstr>Sinh viên điểm &gt;= 7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2026-10-02T01:36:15Z</dcterms:created>
  <dcterms:modified xsi:type="dcterms:W3CDTF">2026-10-02T01:36:15Z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2026-09-25T00:28:26Z</dcterms:created>
  <dc:creator>student</dc:creator>
  <dc:description/>
  <dc:language>en-US</dc:language>
  <cp:lastModifiedBy>student</cp:lastModifiedBy>
  <dcterms:modified xsi:type="dcterms:W3CDTF">2026-10-02T01:21:32Z</dcterms:modified>
  <cp:revision>0</cp:revision>
  <dc:subject/>
  <dc:title/>
</cp:coreProperties>
</file>