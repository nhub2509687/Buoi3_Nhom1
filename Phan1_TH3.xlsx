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hugo\Downloads\"/>
    </mc:Choice>
  </mc:AlternateContent>
  <xr:revisionPtr revIDLastSave="0" documentId="13_ncr:1_{A36F4628-3A93-4E79-853B-E9A267955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hợp điểm" sheetId="1" r:id="rId1"/>
    <sheet name="Sinh viên điểm &lt; 7" sheetId="2" r:id="rId2"/>
    <sheet name="Sinh viên điểm &gt;= 7" sheetId="3" r:id="rId3"/>
  </sheets>
  <definedNames>
    <definedName name="_xlnm._FilterDatabase" localSheetId="0" hidden="1">'Tổng hợp điểm'!$A$6:$K$20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1" l="1"/>
  <c r="F34" i="1"/>
  <c r="J14" i="1"/>
  <c r="K14" i="1" s="1"/>
  <c r="J17" i="1"/>
  <c r="K17" i="1" s="1"/>
  <c r="J19" i="1"/>
  <c r="K19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I15" i="1"/>
  <c r="J15" i="1" s="1"/>
  <c r="K15" i="1" s="1"/>
  <c r="I16" i="1"/>
  <c r="J16" i="1" s="1"/>
  <c r="K16" i="1" s="1"/>
  <c r="I17" i="1"/>
  <c r="I18" i="1"/>
  <c r="J18" i="1" s="1"/>
  <c r="K18" i="1" s="1"/>
  <c r="I19" i="1"/>
  <c r="I20" i="1"/>
  <c r="J20" i="1" s="1"/>
  <c r="K20" i="1" s="1"/>
  <c r="I7" i="1"/>
  <c r="J7" i="1" s="1"/>
  <c r="K7" i="1" s="1"/>
  <c r="F29" i="1" l="1"/>
  <c r="F27" i="1"/>
  <c r="F31" i="1"/>
  <c r="F30" i="1"/>
  <c r="F24" i="1"/>
  <c r="F28" i="1"/>
  <c r="F26" i="1"/>
  <c r="F25" i="1"/>
</calcChain>
</file>

<file path=xl/sharedStrings.xml><?xml version="1.0" encoding="utf-8"?>
<sst xmlns="http://schemas.openxmlformats.org/spreadsheetml/2006/main" count="195" uniqueCount="91">
  <si>
    <t>ĐIỂM THI HK1-2018-2019(CT428)</t>
  </si>
  <si>
    <t>Ma CB</t>
  </si>
  <si>
    <t>Ma MH</t>
  </si>
  <si>
    <t>Nam hoc</t>
  </si>
  <si>
    <t>CT428</t>
  </si>
  <si>
    <t>2020-2021</t>
  </si>
  <si>
    <t>Ho va ten</t>
  </si>
  <si>
    <t>Ma NH</t>
  </si>
  <si>
    <t>Hoc ky</t>
  </si>
  <si>
    <t>Nguyen Minh Trung</t>
  </si>
  <si>
    <t>STT</t>
  </si>
  <si>
    <t>Mã SV</t>
  </si>
  <si>
    <t>Họ và Tên</t>
  </si>
  <si>
    <t>Điểm BT lớn</t>
  </si>
  <si>
    <t>Điểm
TH 1</t>
  </si>
  <si>
    <t>Điểm
TH 2</t>
  </si>
  <si>
    <t>Điểm
TH 3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</si>
  <si>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</si>
  <si>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</si>
  <si>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</si>
  <si>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</si>
  <si>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</si>
  <si>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</si>
  <si>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</si>
  <si>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</si>
  <si>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</si>
  <si>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</si>
  <si>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</si>
  <si>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</si>
  <si>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</si>
  <si>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</si>
  <si>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</si>
  <si>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5B1609765</t>
  </si>
  <si>
    <t>0B1609773</t>
  </si>
  <si>
    <t>Nguyễn Văn Hiếu</t>
  </si>
  <si>
    <t xml:space="preserve">Lý Minh Trí </t>
  </si>
  <si>
    <t>Nguyễn Kiều Mi</t>
  </si>
  <si>
    <t>Đặng Duy Linh</t>
  </si>
  <si>
    <t>Lê Thị Trúc Linh</t>
  </si>
  <si>
    <t>Phạm Thị Huỳnh</t>
  </si>
  <si>
    <t>Lê Minh Thông</t>
  </si>
  <si>
    <t xml:space="preserve">Huỳnh Thị Diễm </t>
  </si>
  <si>
    <t>Trần Thanh Nguyên</t>
  </si>
  <si>
    <t>Nguyễn Thị Đào</t>
  </si>
  <si>
    <t>Nguyễn Chí Thanh</t>
  </si>
  <si>
    <t>Nguyễn Hải Anh</t>
  </si>
  <si>
    <t>Trần Nam Dương</t>
  </si>
  <si>
    <t>Nguyễn Duy Khanh</t>
  </si>
  <si>
    <t>0.5</t>
  </si>
  <si>
    <t>0.25</t>
  </si>
  <si>
    <t>1.5</t>
  </si>
  <si>
    <t>3.5</t>
  </si>
  <si>
    <t>5.5</t>
  </si>
  <si>
    <t>6.5</t>
  </si>
  <si>
    <t>Bảng quy đổi điểm</t>
  </si>
  <si>
    <t>Điểm theo thang điểm 4</t>
  </si>
  <si>
    <t>Bảng Điểm Chuyên Cần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</si>
  <si>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</si>
  <si>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</si>
  <si>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</si>
  <si>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</si>
  <si>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</si>
  <si>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</si>
  <si>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</si>
  <si>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</si>
  <si>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</si>
  <si>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</si>
  <si>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2.5</t>
  </si>
  <si>
    <t>Danh sách sinh viên</t>
  </si>
  <si>
    <t>B1509929</t>
  </si>
  <si>
    <t>B1605285</t>
  </si>
  <si>
    <t>B1605291</t>
  </si>
  <si>
    <t>B1605249</t>
  </si>
  <si>
    <t>B1605223</t>
  </si>
  <si>
    <t>B1505915</t>
  </si>
  <si>
    <t>B1607025</t>
  </si>
  <si>
    <t>B1609773</t>
  </si>
  <si>
    <t>B1609759</t>
  </si>
  <si>
    <t>B1509874</t>
  </si>
  <si>
    <t>B1605344</t>
  </si>
  <si>
    <t>B1505719</t>
  </si>
  <si>
    <t>B1605235</t>
  </si>
  <si>
    <t>B1609765</t>
  </si>
  <si>
    <t>Huỳnh Thị Diễm</t>
  </si>
  <si>
    <t>Lý Minh Trí</t>
  </si>
  <si>
    <t>Bảng thống kê theo điểm chữ</t>
  </si>
  <si>
    <t xml:space="preserve">Điểm chữ </t>
  </si>
  <si>
    <t>Số lượng sinh viên</t>
  </si>
  <si>
    <t>Bảng thống kê SV</t>
  </si>
  <si>
    <t>Số sinh viên điểm BT
lớn = 0 hoặc điểm LT
= -3</t>
  </si>
  <si>
    <t>Số SV nghỉ TH &gt;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</si>
</sst>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textRotation="255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Thống kê tổng số lượng Sinh viên theo điểm chữ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'Tổng hợp điểm'!$F$22:$F$23</c:f>
              <c:strCache>
                <c:ptCount val="2"/>
                <c:pt idx="0">
                  <c:v>Bảng thống kê theo điểm chữ</c:v>
                </c:pt>
                <c:pt idx="1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45D-4AFE-8496-4749783706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hợp điểm'!$E$24:$E$31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'Tổng hợp điểm'!$F$24:$F$31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D-4AFE-8496-4749783706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350520</xdr:colOff>
      <xdr:row>22</xdr:row>
      <xdr:rowOff>49530</xdr:rowOff>
    </xdr:from>
    <xdr:to>
      <xdr:col>12</xdr:col>
      <xdr:colOff>449580</xdr:colOff>
      <xdr:row>36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E26631-3D50-866A-5641-0AC90FF3A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zoomScaleNormal="100" workbookViewId="0">
      <pane xSplit="3" ySplit="6" topLeftCell="D25" activePane="bottomRight" state="frozen"/>
      <selection pane="topRight" activeCell="D1" sqref="D1"/>
      <selection pane="bottomLeft" activeCell="A7" sqref="A7"/>
      <selection pane="bottomRight" activeCell="E22" sqref="E22:F31"/>
    </sheetView>
  </sheetViews>
  <sheetFormatPr defaultRowHeight="15.6" x14ac:dyDescent="0.3"/>
  <cols>
    <col min="2" max="2" width="10.09765625" bestFit="1" customWidth="1"/>
    <col min="3" max="3" width="16.3984375" bestFit="1" customWidth="1"/>
    <col min="5" max="5" width="16" bestFit="1" customWidth="1"/>
    <col min="6" max="6" width="15.796875" bestFit="1" customWidth="1"/>
    <col min="9" max="9" width="14.69921875" customWidth="1"/>
    <col min="13" max="13" width="20.69921875" bestFit="1" customWidth="1"/>
    <col min="15" max="15" width="19.69921875" bestFit="1" customWidth="1"/>
    <col min="16" max="16" width="4" customWidth="1"/>
    <col min="17" max="17" width="11.19921875" bestFit="1" customWidth="1"/>
    <col min="18" max="18" width="11" customWidth="1"/>
  </cols>
  <sheetData>
    <row r="1" spans="1:18" ht="17.399999999999999" x14ac:dyDescent="0.3">
      <c r="B1" s="15" t="s">
        <v>0</v>
      </c>
      <c r="C1" s="15"/>
      <c r="D1" s="15"/>
      <c r="E1" s="15"/>
      <c r="F1" s="15"/>
      <c r="G1" s="15"/>
      <c r="H1" s="15"/>
      <c r="I1" s="3"/>
      <c r="R1" s="1"/>
    </row>
    <row r="2" spans="1:18" x14ac:dyDescent="0.3">
      <c r="B2" s="3" t="s">
        <v>1</v>
      </c>
      <c r="C2" s="3">
        <v>1043</v>
      </c>
      <c r="D2" s="12" t="s">
        <v>6</v>
      </c>
      <c r="E2" s="12"/>
      <c r="F2" s="12" t="s">
        <v>9</v>
      </c>
      <c r="G2" s="12"/>
      <c r="H2" s="12"/>
      <c r="I2" s="12"/>
    </row>
    <row r="3" spans="1:18" x14ac:dyDescent="0.3">
      <c r="B3" s="3" t="s">
        <v>2</v>
      </c>
      <c r="C3" s="3" t="s">
        <v>4</v>
      </c>
      <c r="D3" s="12" t="s">
        <v>7</v>
      </c>
      <c r="E3" s="12"/>
      <c r="F3" s="12">
        <v>8</v>
      </c>
      <c r="G3" s="12"/>
      <c r="H3" s="12"/>
      <c r="I3" s="3"/>
    </row>
    <row r="4" spans="1:18" x14ac:dyDescent="0.3">
      <c r="B4" s="3" t="s">
        <v>3</v>
      </c>
      <c r="C4" s="3" t="s">
        <v>5</v>
      </c>
      <c r="D4" s="12" t="s">
        <v>8</v>
      </c>
      <c r="E4" s="12"/>
      <c r="F4" s="12">
        <v>1</v>
      </c>
      <c r="G4" s="12"/>
      <c r="H4" s="12"/>
      <c r="I4" s="3"/>
    </row>
    <row r="6" spans="1:18" s="1" customFormat="1" ht="76.5" customHeight="1" x14ac:dyDescent="0.3">
      <c r="A6" s="5" t="s">
        <v>10</v>
      </c>
      <c r="B6" s="6" t="s">
        <v>11</v>
      </c>
      <c r="C6" s="6" t="s">
        <v>12</v>
      </c>
      <c r="D6" s="5" t="s">
        <v>14</v>
      </c>
      <c r="E6" s="5" t="s">
        <v>15</v>
      </c>
      <c r="F6" s="5" t="s">
        <v>16</v>
      </c>
      <c r="G6" s="5" t="s">
        <v>13</v>
      </c>
      <c r="H6" s="6" t="s">
        <v>17</v>
      </c>
      <c r="I6" s="5" t="s">
        <v>18</v>
      </c>
      <c r="J6" s="5" t="s">
        <v>19</v>
      </c>
      <c r="K6" s="5" t="s">
        <v>20</v>
      </c>
    </row>
    <row r="7" spans="1:18" x14ac:dyDescent="0.3">
      <c r="A7" s="2">
        <v>1</v>
      </c>
      <c r="B7" s="3" t="s">
        <v>21</v>
      </c>
      <c r="C7" s="3" t="s">
        <v>34</v>
      </c>
      <c r="D7" s="4">
        <v>0.45</v>
      </c>
      <c r="E7" s="16">
        <v>0.25</v>
      </c>
      <c r="F7" s="4">
        <v>0.3</v>
      </c>
      <c r="G7" s="4">
        <v>0.5</v>
      </c>
      <c r="H7" s="4">
        <v>4.2</v>
      </c>
      <c r="I7" s="3">
        <f>ROUND(IF(H7=-3,0,SUM(D7:G7)+0.6*H7),1)</f>
        <v>4</v>
      </c>
      <c r="J7" s="3">
        <f>IF(OR(G7=0,LEFT(B7,1)*1&gt;2),0,ROUND(I7+IF(LEFT(B7,1)*1=0,1,IF(LEFT(B7,1)*1=1,0.5,0.25)),1))</f>
        <v>5</v>
      </c>
      <c r="K7" s="7" t="str">
        <f>IFERROR(VLOOKUP(J7,$M$9:$N$16,2,TRUE)," ")</f>
        <v>D+</v>
      </c>
      <c r="M7" s="13" t="s">
        <v>54</v>
      </c>
      <c r="N7" s="13"/>
      <c r="O7" s="13"/>
      <c r="P7" s="4"/>
      <c r="Q7" s="13" t="s">
        <v>56</v>
      </c>
      <c r="R7" s="13"/>
    </row>
    <row r="8" spans="1:18" x14ac:dyDescent="0.3">
      <c r="A8" s="2">
        <v>2</v>
      </c>
      <c r="B8" s="3" t="s">
        <v>22</v>
      </c>
      <c r="C8" s="3" t="s">
        <v>35</v>
      </c>
      <c r="D8" s="4">
        <v>0.5</v>
      </c>
      <c r="E8" s="4">
        <v>0.35</v>
      </c>
      <c r="F8" s="4">
        <v>0.4</v>
      </c>
      <c r="G8" s="4">
        <v>1</v>
      </c>
      <c r="H8" s="4">
        <v>5.8</v>
      </c>
      <c r="I8" s="3">
        <f t="shared" ref="I8:I20" si="0">ROUND(IF(H8=-3,0,SUM(D8:G8)+0.6*H8),1)</f>
        <v>5.7</v>
      </c>
      <c r="J8" s="3">
        <f t="shared" ref="J8:J20" si="1">IF(OR(G8=0,LEFT(B8,1)*1&gt;2),0,ROUND(I8+IF(LEFT(B8,1)*1=0,1,IF(LEFT(B8,1)*1=1,0.5,0.25)),1))</f>
        <v>6.2</v>
      </c>
      <c r="K8" s="7" t="str">
        <f t="shared" ref="K8:K20" si="2">IFERROR(VLOOKUP(J8,$M$9:$N$16,2,TRUE)," ")</f>
        <v>D+</v>
      </c>
      <c r="M8" s="4" t="s">
        <v>19</v>
      </c>
      <c r="N8" s="4" t="s">
        <v>20</v>
      </c>
      <c r="O8" s="4" t="s">
        <v>55</v>
      </c>
      <c r="P8" s="4"/>
      <c r="Q8" s="4" t="s">
        <v>57</v>
      </c>
      <c r="R8" s="4" t="s">
        <v>58</v>
      </c>
    </row>
    <row r="9" spans="1:18" x14ac:dyDescent="0.3">
      <c r="A9" s="2">
        <v>3</v>
      </c>
      <c r="B9" s="3" t="s">
        <v>23</v>
      </c>
      <c r="C9" s="3" t="s">
        <v>36</v>
      </c>
      <c r="D9" s="4">
        <v>0.25</v>
      </c>
      <c r="E9" s="4">
        <v>0.25</v>
      </c>
      <c r="F9" s="4">
        <v>0.3</v>
      </c>
      <c r="G9" s="4">
        <v>0.5</v>
      </c>
      <c r="H9" s="4">
        <v>5.8</v>
      </c>
      <c r="I9" s="3">
        <f t="shared" si="0"/>
        <v>4.8</v>
      </c>
      <c r="J9" s="3">
        <f t="shared" si="1"/>
        <v>5.8</v>
      </c>
      <c r="K9" s="7" t="str">
        <f t="shared" si="2"/>
        <v>D+</v>
      </c>
      <c r="M9" s="8">
        <v>0</v>
      </c>
      <c r="N9" s="8" t="s">
        <v>59</v>
      </c>
      <c r="O9" s="8">
        <v>0</v>
      </c>
      <c r="P9" s="3"/>
      <c r="Q9" s="3">
        <v>0</v>
      </c>
      <c r="R9" s="8">
        <v>1</v>
      </c>
    </row>
    <row r="10" spans="1:18" x14ac:dyDescent="0.3">
      <c r="A10" s="2">
        <v>4</v>
      </c>
      <c r="B10" s="3" t="s">
        <v>24</v>
      </c>
      <c r="C10" s="3" t="s">
        <v>37</v>
      </c>
      <c r="D10" s="4">
        <v>0.4</v>
      </c>
      <c r="E10" s="4">
        <v>0.25</v>
      </c>
      <c r="F10" s="4">
        <v>0.35</v>
      </c>
      <c r="G10" s="4">
        <v>1</v>
      </c>
      <c r="H10" s="4">
        <v>4.5</v>
      </c>
      <c r="I10" s="3">
        <f t="shared" si="0"/>
        <v>4.7</v>
      </c>
      <c r="J10" s="3">
        <f t="shared" si="1"/>
        <v>5.7</v>
      </c>
      <c r="K10" s="7" t="str">
        <f t="shared" si="2"/>
        <v>D+</v>
      </c>
      <c r="M10" s="8">
        <v>4</v>
      </c>
      <c r="N10" s="8" t="s">
        <v>60</v>
      </c>
      <c r="O10" s="8">
        <v>1</v>
      </c>
      <c r="P10" s="3"/>
      <c r="Q10" s="3">
        <v>1</v>
      </c>
      <c r="R10" s="8" t="s">
        <v>48</v>
      </c>
    </row>
    <row r="11" spans="1:18" x14ac:dyDescent="0.3">
      <c r="A11" s="2">
        <v>5</v>
      </c>
      <c r="B11" s="3" t="s">
        <v>25</v>
      </c>
      <c r="C11" s="3" t="s">
        <v>38</v>
      </c>
      <c r="D11" s="4">
        <v>0.45</v>
      </c>
      <c r="E11" s="4">
        <v>0.4</v>
      </c>
      <c r="F11" s="4">
        <v>0.35</v>
      </c>
      <c r="G11" s="4">
        <v>0.75</v>
      </c>
      <c r="H11" s="4">
        <v>5.5</v>
      </c>
      <c r="I11" s="3">
        <f t="shared" si="0"/>
        <v>5.3</v>
      </c>
      <c r="J11" s="3">
        <f t="shared" si="1"/>
        <v>5.6</v>
      </c>
      <c r="K11" s="7" t="str">
        <f t="shared" si="2"/>
        <v>D+</v>
      </c>
      <c r="M11" s="8">
        <v>5</v>
      </c>
      <c r="N11" s="8" t="s">
        <v>61</v>
      </c>
      <c r="O11" s="8" t="s">
        <v>50</v>
      </c>
      <c r="P11" s="3"/>
      <c r="Q11" s="3">
        <v>2</v>
      </c>
      <c r="R11" s="8" t="s">
        <v>49</v>
      </c>
    </row>
    <row r="12" spans="1:18" x14ac:dyDescent="0.3">
      <c r="A12" s="2">
        <v>6</v>
      </c>
      <c r="B12" s="3" t="s">
        <v>26</v>
      </c>
      <c r="C12" s="3" t="s">
        <v>39</v>
      </c>
      <c r="D12" s="4">
        <v>0.4</v>
      </c>
      <c r="E12" s="4">
        <v>0.45</v>
      </c>
      <c r="F12" s="4">
        <v>0.5</v>
      </c>
      <c r="G12" s="4">
        <v>1.2</v>
      </c>
      <c r="H12" s="4">
        <v>7.5</v>
      </c>
      <c r="I12" s="3">
        <f t="shared" si="0"/>
        <v>7.1</v>
      </c>
      <c r="J12" s="3">
        <f t="shared" si="1"/>
        <v>8.1</v>
      </c>
      <c r="K12" s="7" t="str">
        <f t="shared" si="2"/>
        <v>B+</v>
      </c>
      <c r="M12" s="8" t="s">
        <v>52</v>
      </c>
      <c r="N12" s="8" t="s">
        <v>62</v>
      </c>
      <c r="O12" s="8">
        <v>2</v>
      </c>
      <c r="P12" s="3"/>
      <c r="Q12" s="3"/>
      <c r="R12" s="3"/>
    </row>
    <row r="13" spans="1:18" x14ac:dyDescent="0.3">
      <c r="A13" s="2">
        <v>7</v>
      </c>
      <c r="B13" s="3" t="s">
        <v>27</v>
      </c>
      <c r="C13" s="3" t="s">
        <v>40</v>
      </c>
      <c r="D13" s="4">
        <v>0.4</v>
      </c>
      <c r="E13" s="4">
        <v>0.4</v>
      </c>
      <c r="F13" s="4">
        <v>0.4</v>
      </c>
      <c r="G13" s="4">
        <v>1</v>
      </c>
      <c r="H13" s="4">
        <v>5.3</v>
      </c>
      <c r="I13" s="3">
        <f t="shared" si="0"/>
        <v>5.4</v>
      </c>
      <c r="J13" s="3">
        <f t="shared" si="1"/>
        <v>6.4</v>
      </c>
      <c r="K13" s="7" t="str">
        <f t="shared" si="2"/>
        <v>D+</v>
      </c>
      <c r="M13" s="8" t="s">
        <v>53</v>
      </c>
      <c r="N13" s="8" t="s">
        <v>63</v>
      </c>
      <c r="O13" s="8" t="s">
        <v>67</v>
      </c>
      <c r="P13" s="3"/>
      <c r="Q13" s="3"/>
      <c r="R13" s="3"/>
    </row>
    <row r="14" spans="1:18" x14ac:dyDescent="0.3">
      <c r="A14" s="2">
        <v>8</v>
      </c>
      <c r="B14" s="3" t="s">
        <v>28</v>
      </c>
      <c r="C14" s="3" t="s">
        <v>41</v>
      </c>
      <c r="D14" s="4">
        <v>0.45</v>
      </c>
      <c r="E14" s="4">
        <v>0.4</v>
      </c>
      <c r="F14" s="4">
        <v>0.45</v>
      </c>
      <c r="G14" s="4">
        <v>0</v>
      </c>
      <c r="H14" s="4">
        <v>6.8</v>
      </c>
      <c r="I14" s="3">
        <f t="shared" si="0"/>
        <v>5.4</v>
      </c>
      <c r="J14" s="3">
        <f t="shared" si="1"/>
        <v>0</v>
      </c>
      <c r="K14" s="7" t="str">
        <f t="shared" si="2"/>
        <v>F</v>
      </c>
      <c r="M14" s="8">
        <v>7</v>
      </c>
      <c r="N14" s="8" t="s">
        <v>64</v>
      </c>
      <c r="O14" s="8">
        <v>3</v>
      </c>
      <c r="P14" s="3"/>
      <c r="Q14" s="3"/>
      <c r="R14" s="3"/>
    </row>
    <row r="15" spans="1:18" x14ac:dyDescent="0.3">
      <c r="A15" s="2">
        <v>9</v>
      </c>
      <c r="B15" s="3" t="s">
        <v>29</v>
      </c>
      <c r="C15" s="3" t="s">
        <v>42</v>
      </c>
      <c r="D15" s="4">
        <v>0.45</v>
      </c>
      <c r="E15" s="4">
        <v>0.4</v>
      </c>
      <c r="F15" s="4">
        <v>0.4</v>
      </c>
      <c r="G15" s="4">
        <v>0.75</v>
      </c>
      <c r="H15" s="4">
        <v>6.3</v>
      </c>
      <c r="I15" s="3">
        <f t="shared" si="0"/>
        <v>5.8</v>
      </c>
      <c r="J15" s="3">
        <f t="shared" si="1"/>
        <v>6.8</v>
      </c>
      <c r="K15" s="7" t="str">
        <f t="shared" si="2"/>
        <v>D+</v>
      </c>
      <c r="M15" s="8">
        <v>8</v>
      </c>
      <c r="N15" s="8" t="s">
        <v>65</v>
      </c>
      <c r="O15" s="8" t="s">
        <v>51</v>
      </c>
      <c r="P15" s="3"/>
      <c r="Q15" s="3"/>
      <c r="R15" s="3"/>
    </row>
    <row r="16" spans="1:18" x14ac:dyDescent="0.3">
      <c r="A16" s="2">
        <v>10</v>
      </c>
      <c r="B16" s="3" t="s">
        <v>30</v>
      </c>
      <c r="C16" s="3" t="s">
        <v>43</v>
      </c>
      <c r="D16" s="4">
        <v>0.4</v>
      </c>
      <c r="E16" s="4">
        <v>0.5</v>
      </c>
      <c r="F16" s="4">
        <v>0.45</v>
      </c>
      <c r="G16" s="4">
        <v>0.3</v>
      </c>
      <c r="H16" s="4">
        <v>8.3000000000000007</v>
      </c>
      <c r="I16" s="3">
        <f t="shared" si="0"/>
        <v>6.6</v>
      </c>
      <c r="J16" s="3">
        <f t="shared" si="1"/>
        <v>7.1</v>
      </c>
      <c r="K16" s="7" t="str">
        <f t="shared" si="2"/>
        <v>B</v>
      </c>
      <c r="M16" s="8">
        <v>9</v>
      </c>
      <c r="N16" s="8" t="s">
        <v>66</v>
      </c>
      <c r="O16" s="8">
        <v>4</v>
      </c>
      <c r="P16" s="3"/>
      <c r="Q16" s="3"/>
      <c r="R16" s="3"/>
    </row>
    <row r="17" spans="1:11" x14ac:dyDescent="0.3">
      <c r="A17" s="2">
        <v>11</v>
      </c>
      <c r="B17" s="3" t="s">
        <v>31</v>
      </c>
      <c r="C17" s="3" t="s">
        <v>44</v>
      </c>
      <c r="D17" s="4">
        <v>0.4</v>
      </c>
      <c r="E17" s="4">
        <v>0.45</v>
      </c>
      <c r="F17" s="4">
        <v>0.4</v>
      </c>
      <c r="G17" s="4">
        <v>0.3</v>
      </c>
      <c r="H17" s="4">
        <v>-3</v>
      </c>
      <c r="I17" s="3">
        <f t="shared" si="0"/>
        <v>0</v>
      </c>
      <c r="J17" s="3">
        <f t="shared" si="1"/>
        <v>0</v>
      </c>
      <c r="K17" s="7" t="str">
        <f t="shared" si="2"/>
        <v>F</v>
      </c>
    </row>
    <row r="18" spans="1:11" x14ac:dyDescent="0.3">
      <c r="A18" s="2">
        <v>12</v>
      </c>
      <c r="B18" s="3" t="s">
        <v>25</v>
      </c>
      <c r="C18" s="3" t="s">
        <v>45</v>
      </c>
      <c r="D18" s="4">
        <v>0.5</v>
      </c>
      <c r="E18" s="4">
        <v>0.5</v>
      </c>
      <c r="F18" s="4">
        <v>0.45</v>
      </c>
      <c r="G18" s="4">
        <v>1.5</v>
      </c>
      <c r="H18" s="4">
        <v>7</v>
      </c>
      <c r="I18" s="3">
        <f t="shared" si="0"/>
        <v>7.2</v>
      </c>
      <c r="J18" s="3">
        <f t="shared" si="1"/>
        <v>7.5</v>
      </c>
      <c r="K18" s="7" t="str">
        <f t="shared" si="2"/>
        <v>B</v>
      </c>
    </row>
    <row r="19" spans="1:11" x14ac:dyDescent="0.3">
      <c r="A19" s="2">
        <v>13</v>
      </c>
      <c r="B19" s="3" t="s">
        <v>32</v>
      </c>
      <c r="C19" s="3" t="s">
        <v>46</v>
      </c>
      <c r="D19" s="4">
        <v>0.4</v>
      </c>
      <c r="E19" s="4">
        <v>0.4</v>
      </c>
      <c r="F19" s="4">
        <v>0.35</v>
      </c>
      <c r="G19" s="4">
        <v>1.35</v>
      </c>
      <c r="H19" s="4">
        <v>-3</v>
      </c>
      <c r="I19" s="3">
        <f t="shared" si="0"/>
        <v>0</v>
      </c>
      <c r="J19" s="3">
        <f t="shared" si="1"/>
        <v>0</v>
      </c>
      <c r="K19" s="7" t="str">
        <f t="shared" si="2"/>
        <v>F</v>
      </c>
    </row>
    <row r="20" spans="1:11" x14ac:dyDescent="0.3">
      <c r="A20" s="2">
        <v>14</v>
      </c>
      <c r="B20" s="3" t="s">
        <v>33</v>
      </c>
      <c r="C20" s="3" t="s">
        <v>47</v>
      </c>
      <c r="D20" s="4">
        <v>0.35</v>
      </c>
      <c r="E20" s="4">
        <v>0.4</v>
      </c>
      <c r="F20" s="4">
        <v>0</v>
      </c>
      <c r="G20" s="4">
        <v>0.85</v>
      </c>
      <c r="H20" s="4">
        <v>6.5</v>
      </c>
      <c r="I20" s="3">
        <f t="shared" si="0"/>
        <v>5.5</v>
      </c>
      <c r="J20" s="3">
        <f t="shared" si="1"/>
        <v>6.5</v>
      </c>
      <c r="K20" s="7" t="str">
        <f t="shared" si="2"/>
        <v>D+</v>
      </c>
    </row>
    <row r="22" spans="1:11" x14ac:dyDescent="0.3">
      <c r="A22" s="13" t="s">
        <v>68</v>
      </c>
      <c r="B22" s="13"/>
      <c r="C22" s="13"/>
      <c r="E22" s="14" t="s">
        <v>85</v>
      </c>
      <c r="F22" s="14"/>
    </row>
    <row r="23" spans="1:11" x14ac:dyDescent="0.3">
      <c r="A23" s="9" t="s">
        <v>10</v>
      </c>
      <c r="B23" s="9" t="s">
        <v>11</v>
      </c>
      <c r="C23" s="9" t="s">
        <v>12</v>
      </c>
      <c r="E23" s="9" t="s">
        <v>86</v>
      </c>
      <c r="F23" s="9" t="s">
        <v>87</v>
      </c>
    </row>
    <row r="24" spans="1:11" x14ac:dyDescent="0.3">
      <c r="A24" s="4">
        <v>1</v>
      </c>
      <c r="B24" s="3" t="s">
        <v>69</v>
      </c>
      <c r="C24" s="3" t="s">
        <v>37</v>
      </c>
      <c r="E24" s="4" t="s">
        <v>66</v>
      </c>
      <c r="F24" s="3">
        <f>COUNTIF($K$7:$K$20,E24)</f>
        <v>0</v>
      </c>
    </row>
    <row r="25" spans="1:11" x14ac:dyDescent="0.3">
      <c r="A25" s="4">
        <v>2</v>
      </c>
      <c r="B25" s="3" t="s">
        <v>70</v>
      </c>
      <c r="C25" s="3" t="s">
        <v>83</v>
      </c>
      <c r="E25" s="4" t="s">
        <v>65</v>
      </c>
      <c r="F25" s="3">
        <f t="shared" ref="F25:F31" si="3">COUNTIF($K$7:$K$20,E25)</f>
        <v>1</v>
      </c>
    </row>
    <row r="26" spans="1:11" x14ac:dyDescent="0.3">
      <c r="A26" s="4">
        <v>3</v>
      </c>
      <c r="B26" s="3" t="s">
        <v>71</v>
      </c>
      <c r="C26" s="3" t="s">
        <v>42</v>
      </c>
      <c r="E26" s="4" t="s">
        <v>64</v>
      </c>
      <c r="F26" s="3">
        <f t="shared" si="3"/>
        <v>2</v>
      </c>
    </row>
    <row r="27" spans="1:11" x14ac:dyDescent="0.3">
      <c r="A27" s="4">
        <v>4</v>
      </c>
      <c r="B27" s="3" t="s">
        <v>72</v>
      </c>
      <c r="C27" s="3" t="s">
        <v>40</v>
      </c>
      <c r="E27" s="4" t="s">
        <v>63</v>
      </c>
      <c r="F27" s="3">
        <f t="shared" si="3"/>
        <v>0</v>
      </c>
    </row>
    <row r="28" spans="1:11" x14ac:dyDescent="0.3">
      <c r="A28" s="4">
        <v>5</v>
      </c>
      <c r="B28" s="3" t="s">
        <v>73</v>
      </c>
      <c r="C28" s="3" t="s">
        <v>38</v>
      </c>
      <c r="E28" s="4" t="s">
        <v>62</v>
      </c>
      <c r="F28" s="3">
        <f t="shared" si="3"/>
        <v>0</v>
      </c>
      <c r="H28" s="10"/>
    </row>
    <row r="29" spans="1:11" x14ac:dyDescent="0.3">
      <c r="A29" s="4">
        <v>6</v>
      </c>
      <c r="B29" s="3" t="s">
        <v>74</v>
      </c>
      <c r="C29" s="3" t="s">
        <v>84</v>
      </c>
      <c r="E29" s="4" t="s">
        <v>61</v>
      </c>
      <c r="F29" s="3">
        <f t="shared" si="3"/>
        <v>8</v>
      </c>
    </row>
    <row r="30" spans="1:11" x14ac:dyDescent="0.3">
      <c r="A30" s="4">
        <v>7</v>
      </c>
      <c r="B30" s="3" t="s">
        <v>75</v>
      </c>
      <c r="C30" s="3" t="s">
        <v>44</v>
      </c>
      <c r="E30" s="4" t="s">
        <v>60</v>
      </c>
      <c r="F30" s="3">
        <f t="shared" si="3"/>
        <v>0</v>
      </c>
    </row>
    <row r="31" spans="1:11" x14ac:dyDescent="0.3">
      <c r="A31" s="4">
        <v>8</v>
      </c>
      <c r="B31" s="3" t="s">
        <v>76</v>
      </c>
      <c r="C31" s="3" t="s">
        <v>47</v>
      </c>
      <c r="E31" s="4" t="s">
        <v>59</v>
      </c>
      <c r="F31" s="3">
        <f t="shared" si="3"/>
        <v>3</v>
      </c>
    </row>
    <row r="32" spans="1:11" x14ac:dyDescent="0.3">
      <c r="A32" s="4">
        <v>9</v>
      </c>
      <c r="B32" s="3" t="s">
        <v>77</v>
      </c>
      <c r="C32" s="3" t="s">
        <v>45</v>
      </c>
    </row>
    <row r="33" spans="1:6" x14ac:dyDescent="0.3">
      <c r="A33" s="4">
        <v>10</v>
      </c>
      <c r="B33" s="3" t="s">
        <v>78</v>
      </c>
      <c r="C33" s="3" t="s">
        <v>36</v>
      </c>
      <c r="E33" s="12" t="s">
        <v>88</v>
      </c>
      <c r="F33" s="12"/>
    </row>
    <row r="34" spans="1:6" x14ac:dyDescent="0.3">
      <c r="A34" s="4">
        <v>11</v>
      </c>
      <c r="B34" s="3" t="s">
        <v>79</v>
      </c>
      <c r="C34" s="3" t="s">
        <v>43</v>
      </c>
      <c r="E34" s="11" t="s">
        <v>89</v>
      </c>
      <c r="F34" s="17">
        <f>COUNTIF($G$7:$G$20,0)+COUNTIF($H$7:$H$20,-3)-COUNTIFS($G$7:$G$20,0,$H$7:$H$20,-3)</f>
        <v>3</v>
      </c>
    </row>
    <row r="35" spans="1:6" x14ac:dyDescent="0.3">
      <c r="A35" s="4">
        <v>12</v>
      </c>
      <c r="B35" s="3" t="s">
        <v>80</v>
      </c>
      <c r="C35" s="3" t="s">
        <v>34</v>
      </c>
      <c r="E35" s="12"/>
      <c r="F35" s="17"/>
    </row>
    <row r="36" spans="1:6" x14ac:dyDescent="0.3">
      <c r="A36" s="4">
        <v>13</v>
      </c>
      <c r="B36" s="3" t="s">
        <v>81</v>
      </c>
      <c r="C36" s="3" t="s">
        <v>39</v>
      </c>
      <c r="E36" s="12"/>
      <c r="F36" s="17"/>
    </row>
    <row r="37" spans="1:6" x14ac:dyDescent="0.3">
      <c r="A37" s="4">
        <v>14</v>
      </c>
      <c r="B37" s="3" t="s">
        <v>82</v>
      </c>
      <c r="C37" s="3" t="s">
        <v>46</v>
      </c>
      <c r="E37" s="3" t="s">
        <v>90</v>
      </c>
      <c r="F37" s="4">
        <f>SUMPRODUCT(--(VALUE(LEFT($B$7:$B$20,1))&gt;2))</f>
        <v>2</v>
      </c>
    </row>
  </sheetData>
  <mergeCells count="14">
    <mergeCell ref="B1:H1"/>
    <mergeCell ref="D2:E2"/>
    <mergeCell ref="D3:E3"/>
    <mergeCell ref="D4:E4"/>
    <mergeCell ref="F3:H3"/>
    <mergeCell ref="F4:H4"/>
    <mergeCell ref="F2:I2"/>
    <mergeCell ref="E34:E36"/>
    <mergeCell ref="F34:F36"/>
    <mergeCell ref="A22:C22"/>
    <mergeCell ref="M7:O7"/>
    <mergeCell ref="Q7:R7"/>
    <mergeCell ref="E22:F22"/>
    <mergeCell ref="E33:F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4045-9F71-44BF-B76E-FB37DAB3940F}">
  <dimension ref="A1:K12"/>
  <sheetViews>
    <sheetView workbookViewId="0">
      <selection activeCell="I20" sqref="I20"/>
    </sheetView>
  </sheetViews>
  <sheetFormatPr defaultRowHeight="15.6" x14ac:dyDescent="0.3"/>
  <sheetData>
    <row r="1" spans="1:11" ht="62.4" x14ac:dyDescent="0.3">
      <c r="A1" s="5" t="s">
        <v>10</v>
      </c>
      <c r="B1" s="6" t="s">
        <v>11</v>
      </c>
      <c r="C1" s="6" t="s">
        <v>12</v>
      </c>
      <c r="D1" s="5" t="s">
        <v>14</v>
      </c>
      <c r="E1" s="5" t="s">
        <v>15</v>
      </c>
      <c r="F1" s="5" t="s">
        <v>16</v>
      </c>
      <c r="G1" s="5" t="s">
        <v>13</v>
      </c>
      <c r="H1" s="6" t="s">
        <v>17</v>
      </c>
      <c r="I1" s="5" t="s">
        <v>18</v>
      </c>
      <c r="J1" s="5" t="s">
        <v>19</v>
      </c>
      <c r="K1" s="5" t="s">
        <v>20</v>
      </c>
    </row>
    <row r="2" spans="1:11" x14ac:dyDescent="0.3">
      <c r="A2" s="2">
        <v>1</v>
      </c>
      <c r="B2" s="3" t="s">
        <v>21</v>
      </c>
      <c r="C2" s="3" t="s">
        <v>34</v>
      </c>
      <c r="D2" s="4">
        <v>0.45</v>
      </c>
      <c r="E2" s="16">
        <v>0.25</v>
      </c>
      <c r="F2" s="4">
        <v>0.3</v>
      </c>
      <c r="G2" s="4">
        <v>0.5</v>
      </c>
      <c r="H2" s="4">
        <v>4.2</v>
      </c>
      <c r="I2" s="3">
        <v>4</v>
      </c>
      <c r="J2" s="3">
        <v>5</v>
      </c>
      <c r="K2" s="7" t="s">
        <v>61</v>
      </c>
    </row>
    <row r="3" spans="1:11" x14ac:dyDescent="0.3">
      <c r="A3" s="2">
        <v>2</v>
      </c>
      <c r="B3" s="3" t="s">
        <v>22</v>
      </c>
      <c r="C3" s="3" t="s">
        <v>35</v>
      </c>
      <c r="D3" s="4">
        <v>0.5</v>
      </c>
      <c r="E3" s="4">
        <v>0.35</v>
      </c>
      <c r="F3" s="4">
        <v>0.4</v>
      </c>
      <c r="G3" s="4">
        <v>1</v>
      </c>
      <c r="H3" s="4">
        <v>5.8</v>
      </c>
      <c r="I3" s="3">
        <v>5.7</v>
      </c>
      <c r="J3" s="3">
        <v>6.2</v>
      </c>
      <c r="K3" s="7" t="s">
        <v>61</v>
      </c>
    </row>
    <row r="4" spans="1:11" x14ac:dyDescent="0.3">
      <c r="A4" s="2">
        <v>3</v>
      </c>
      <c r="B4" s="3" t="s">
        <v>23</v>
      </c>
      <c r="C4" s="3" t="s">
        <v>36</v>
      </c>
      <c r="D4" s="4">
        <v>0.25</v>
      </c>
      <c r="E4" s="4">
        <v>0.25</v>
      </c>
      <c r="F4" s="4">
        <v>0.3</v>
      </c>
      <c r="G4" s="4">
        <v>0.5</v>
      </c>
      <c r="H4" s="4">
        <v>5.8</v>
      </c>
      <c r="I4" s="3">
        <v>4.8</v>
      </c>
      <c r="J4" s="3">
        <v>5.8</v>
      </c>
      <c r="K4" s="7" t="s">
        <v>61</v>
      </c>
    </row>
    <row r="5" spans="1:11" x14ac:dyDescent="0.3">
      <c r="A5" s="2">
        <v>4</v>
      </c>
      <c r="B5" s="3" t="s">
        <v>24</v>
      </c>
      <c r="C5" s="3" t="s">
        <v>37</v>
      </c>
      <c r="D5" s="4">
        <v>0.4</v>
      </c>
      <c r="E5" s="4">
        <v>0.25</v>
      </c>
      <c r="F5" s="4">
        <v>0.35</v>
      </c>
      <c r="G5" s="4">
        <v>1</v>
      </c>
      <c r="H5" s="4">
        <v>4.5</v>
      </c>
      <c r="I5" s="3">
        <v>4.7</v>
      </c>
      <c r="J5" s="3">
        <v>5.7</v>
      </c>
      <c r="K5" s="7" t="s">
        <v>61</v>
      </c>
    </row>
    <row r="6" spans="1:11" x14ac:dyDescent="0.3">
      <c r="A6" s="2">
        <v>5</v>
      </c>
      <c r="B6" s="3" t="s">
        <v>25</v>
      </c>
      <c r="C6" s="3" t="s">
        <v>38</v>
      </c>
      <c r="D6" s="4">
        <v>0.45</v>
      </c>
      <c r="E6" s="4">
        <v>0.4</v>
      </c>
      <c r="F6" s="4">
        <v>0.35</v>
      </c>
      <c r="G6" s="4">
        <v>0.75</v>
      </c>
      <c r="H6" s="4">
        <v>5.5</v>
      </c>
      <c r="I6" s="3">
        <v>5.3</v>
      </c>
      <c r="J6" s="3">
        <v>5.6</v>
      </c>
      <c r="K6" s="7" t="s">
        <v>61</v>
      </c>
    </row>
    <row r="7" spans="1:11" x14ac:dyDescent="0.3">
      <c r="A7" s="2">
        <v>7</v>
      </c>
      <c r="B7" s="3" t="s">
        <v>27</v>
      </c>
      <c r="C7" s="3" t="s">
        <v>40</v>
      </c>
      <c r="D7" s="4">
        <v>0.4</v>
      </c>
      <c r="E7" s="4">
        <v>0.4</v>
      </c>
      <c r="F7" s="4">
        <v>0.4</v>
      </c>
      <c r="G7" s="4">
        <v>1</v>
      </c>
      <c r="H7" s="4">
        <v>5.3</v>
      </c>
      <c r="I7" s="3">
        <v>5.4</v>
      </c>
      <c r="J7" s="3">
        <v>6.4</v>
      </c>
      <c r="K7" s="7" t="s">
        <v>61</v>
      </c>
    </row>
    <row r="8" spans="1:11" x14ac:dyDescent="0.3">
      <c r="A8" s="2">
        <v>8</v>
      </c>
      <c r="B8" s="3" t="s">
        <v>28</v>
      </c>
      <c r="C8" s="3" t="s">
        <v>41</v>
      </c>
      <c r="D8" s="4">
        <v>0.45</v>
      </c>
      <c r="E8" s="4">
        <v>0.4</v>
      </c>
      <c r="F8" s="4">
        <v>0.45</v>
      </c>
      <c r="G8" s="4">
        <v>0</v>
      </c>
      <c r="H8" s="4">
        <v>6.8</v>
      </c>
      <c r="I8" s="3">
        <v>5.4</v>
      </c>
      <c r="J8" s="3">
        <v>0</v>
      </c>
      <c r="K8" s="7" t="s">
        <v>59</v>
      </c>
    </row>
    <row r="9" spans="1:11" x14ac:dyDescent="0.3">
      <c r="A9" s="2">
        <v>9</v>
      </c>
      <c r="B9" s="3" t="s">
        <v>29</v>
      </c>
      <c r="C9" s="3" t="s">
        <v>42</v>
      </c>
      <c r="D9" s="4">
        <v>0.45</v>
      </c>
      <c r="E9" s="4">
        <v>0.4</v>
      </c>
      <c r="F9" s="4">
        <v>0.4</v>
      </c>
      <c r="G9" s="4">
        <v>0.75</v>
      </c>
      <c r="H9" s="4">
        <v>6.3</v>
      </c>
      <c r="I9" s="3">
        <v>5.8</v>
      </c>
      <c r="J9" s="3">
        <v>6.8</v>
      </c>
      <c r="K9" s="7" t="s">
        <v>61</v>
      </c>
    </row>
    <row r="10" spans="1:11" x14ac:dyDescent="0.3">
      <c r="A10" s="2">
        <v>11</v>
      </c>
      <c r="B10" s="3" t="s">
        <v>31</v>
      </c>
      <c r="C10" s="3" t="s">
        <v>44</v>
      </c>
      <c r="D10" s="4">
        <v>0.4</v>
      </c>
      <c r="E10" s="4">
        <v>0.45</v>
      </c>
      <c r="F10" s="4">
        <v>0.4</v>
      </c>
      <c r="G10" s="4">
        <v>0.3</v>
      </c>
      <c r="H10" s="4">
        <v>-3</v>
      </c>
      <c r="I10" s="3">
        <v>0</v>
      </c>
      <c r="J10" s="3">
        <v>0</v>
      </c>
      <c r="K10" s="7" t="s">
        <v>59</v>
      </c>
    </row>
    <row r="11" spans="1:11" x14ac:dyDescent="0.3">
      <c r="A11" s="2">
        <v>13</v>
      </c>
      <c r="B11" s="3" t="s">
        <v>32</v>
      </c>
      <c r="C11" s="3" t="s">
        <v>46</v>
      </c>
      <c r="D11" s="4">
        <v>0.4</v>
      </c>
      <c r="E11" s="4">
        <v>0.4</v>
      </c>
      <c r="F11" s="4">
        <v>0.35</v>
      </c>
      <c r="G11" s="4">
        <v>1.35</v>
      </c>
      <c r="H11" s="4">
        <v>-3</v>
      </c>
      <c r="I11" s="3">
        <v>0</v>
      </c>
      <c r="J11" s="3">
        <v>0</v>
      </c>
      <c r="K11" s="7" t="s">
        <v>59</v>
      </c>
    </row>
    <row r="12" spans="1:11" x14ac:dyDescent="0.3">
      <c r="A12" s="2">
        <v>14</v>
      </c>
      <c r="B12" s="3" t="s">
        <v>33</v>
      </c>
      <c r="C12" s="3" t="s">
        <v>47</v>
      </c>
      <c r="D12" s="4">
        <v>0.35</v>
      </c>
      <c r="E12" s="4">
        <v>0.4</v>
      </c>
      <c r="F12" s="4">
        <v>0</v>
      </c>
      <c r="G12" s="4">
        <v>0.85</v>
      </c>
      <c r="H12" s="4">
        <v>6.5</v>
      </c>
      <c r="I12" s="3">
        <v>5.5</v>
      </c>
      <c r="J12" s="3">
        <v>6.5</v>
      </c>
      <c r="K12" s="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021A-0723-426A-8E97-0AA99C713859}">
  <dimension ref="A1:K7"/>
  <sheetViews>
    <sheetView workbookViewId="0">
      <selection activeCell="A6" sqref="A6:K7"/>
    </sheetView>
  </sheetViews>
  <sheetFormatPr defaultRowHeight="15.6" x14ac:dyDescent="0.3"/>
  <sheetData>
    <row r="1" spans="1:11" ht="62.4" x14ac:dyDescent="0.3">
      <c r="A1" s="5" t="s">
        <v>10</v>
      </c>
      <c r="B1" s="6" t="s">
        <v>11</v>
      </c>
      <c r="C1" s="6" t="s">
        <v>12</v>
      </c>
      <c r="D1" s="5" t="s">
        <v>14</v>
      </c>
      <c r="E1" s="5" t="s">
        <v>15</v>
      </c>
      <c r="F1" s="5" t="s">
        <v>16</v>
      </c>
      <c r="G1" s="5" t="s">
        <v>13</v>
      </c>
      <c r="H1" s="6" t="s">
        <v>17</v>
      </c>
      <c r="I1" s="5" t="s">
        <v>18</v>
      </c>
      <c r="J1" s="5" t="s">
        <v>19</v>
      </c>
      <c r="K1" s="5" t="s">
        <v>20</v>
      </c>
    </row>
    <row r="2" spans="1:11" x14ac:dyDescent="0.3">
      <c r="A2" s="2">
        <v>6</v>
      </c>
      <c r="B2" s="3" t="s">
        <v>26</v>
      </c>
      <c r="C2" s="3" t="s">
        <v>39</v>
      </c>
      <c r="D2" s="4">
        <v>0.4</v>
      </c>
      <c r="E2" s="4">
        <v>0.45</v>
      </c>
      <c r="F2" s="4">
        <v>0.5</v>
      </c>
      <c r="G2" s="4">
        <v>1.2</v>
      </c>
      <c r="H2" s="4">
        <v>7.5</v>
      </c>
      <c r="I2" s="3">
        <v>7.1</v>
      </c>
      <c r="J2" s="3">
        <v>8.1</v>
      </c>
      <c r="K2" s="7" t="s">
        <v>65</v>
      </c>
    </row>
    <row r="3" spans="1:11" x14ac:dyDescent="0.3">
      <c r="A3" s="2">
        <v>10</v>
      </c>
      <c r="B3" s="3" t="s">
        <v>30</v>
      </c>
      <c r="C3" s="3" t="s">
        <v>43</v>
      </c>
      <c r="D3" s="4">
        <v>0.4</v>
      </c>
      <c r="E3" s="4">
        <v>0.5</v>
      </c>
      <c r="F3" s="4">
        <v>0.45</v>
      </c>
      <c r="G3" s="4">
        <v>0.3</v>
      </c>
      <c r="H3" s="4">
        <v>8.3000000000000007</v>
      </c>
      <c r="I3" s="3">
        <v>6.6</v>
      </c>
      <c r="J3" s="3">
        <v>7.1</v>
      </c>
      <c r="K3" s="7" t="s">
        <v>64</v>
      </c>
    </row>
    <row r="4" spans="1:11" x14ac:dyDescent="0.3">
      <c r="A4" s="2">
        <v>12</v>
      </c>
      <c r="B4" s="3" t="s">
        <v>25</v>
      </c>
      <c r="C4" s="3" t="s">
        <v>45</v>
      </c>
      <c r="D4" s="4">
        <v>0.5</v>
      </c>
      <c r="E4" s="4">
        <v>0.5</v>
      </c>
      <c r="F4" s="4">
        <v>0.45</v>
      </c>
      <c r="G4" s="4">
        <v>1.5</v>
      </c>
      <c r="H4" s="4">
        <v>7</v>
      </c>
      <c r="I4" s="3">
        <v>7.2</v>
      </c>
      <c r="J4" s="3">
        <v>7.5</v>
      </c>
      <c r="K4" s="7" t="s">
        <v>64</v>
      </c>
    </row>
    <row r="6" spans="1:11" ht="62.4" x14ac:dyDescent="0.3">
      <c r="A6" s="5" t="s">
        <v>10</v>
      </c>
      <c r="B6" s="6" t="s">
        <v>11</v>
      </c>
      <c r="C6" s="6" t="s">
        <v>12</v>
      </c>
      <c r="D6" s="5" t="s">
        <v>14</v>
      </c>
      <c r="E6" s="5" t="s">
        <v>15</v>
      </c>
      <c r="F6" s="5" t="s">
        <v>16</v>
      </c>
      <c r="G6" s="5" t="s">
        <v>13</v>
      </c>
      <c r="H6" s="6" t="s">
        <v>17</v>
      </c>
      <c r="I6" s="5" t="s">
        <v>18</v>
      </c>
      <c r="J6" s="5" t="s">
        <v>19</v>
      </c>
      <c r="K6" s="5" t="s">
        <v>20</v>
      </c>
    </row>
    <row r="7" spans="1:11" x14ac:dyDescent="0.3">
      <c r="A7" s="2">
        <v>6</v>
      </c>
      <c r="B7" s="3" t="s">
        <v>26</v>
      </c>
      <c r="C7" s="3" t="s">
        <v>39</v>
      </c>
      <c r="D7" s="4">
        <v>0.4</v>
      </c>
      <c r="E7" s="4">
        <v>0.45</v>
      </c>
      <c r="F7" s="4">
        <v>0.5</v>
      </c>
      <c r="G7" s="4">
        <v>1.2</v>
      </c>
      <c r="H7" s="4">
        <v>7.5</v>
      </c>
      <c r="I7" s="3">
        <v>7.1</v>
      </c>
      <c r="J7" s="3">
        <v>8.1</v>
      </c>
      <c r="K7" s="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 điểm</vt:lpstr>
      <vt:lpstr>Sinh viên điểm &lt; 7</vt:lpstr>
      <vt:lpstr>Sinh viên điểm &gt;=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Ngoc Nhu</cp:lastModifiedBy>
  <dcterms:created xsi:type="dcterms:W3CDTF">2026-09-25T00:28:26Z</dcterms:created>
  <dcterms:modified xsi:type="dcterms:W3CDTF">2026-10-01T10:52:40Z</dcterms:modified>
</cp:coreProperties>
</file>